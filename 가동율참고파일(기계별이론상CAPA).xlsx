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9.AI_Columbus_2025\2.AI\01.Production_Dashboard - Claude\"/>
    </mc:Choice>
  </mc:AlternateContent>
  <xr:revisionPtr revIDLastSave="0" documentId="13_ncr:1_{03D75CF6-96FE-456B-A8D1-72D604D8AAF4}" xr6:coauthVersionLast="47" xr6:coauthVersionMax="47" xr10:uidLastSave="{00000000-0000-0000-0000-000000000000}"/>
  <bookViews>
    <workbookView xWindow="9375" yWindow="1815" windowWidth="28770" windowHeight="17250" xr2:uid="{00000000-000D-0000-FFFF-FFFF00000000}"/>
  </bookViews>
  <sheets>
    <sheet name="7월" sheetId="1" r:id="rId1"/>
  </sheets>
  <externalReferences>
    <externalReference r:id="rId2"/>
  </externalReferences>
  <definedNames>
    <definedName name="_xlnm._FilterDatabase" localSheetId="0" hidden="1">'7월'!$A$1:$H$200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" i="1" l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D185" i="1" s="1"/>
  <c r="G184" i="1"/>
  <c r="D184" i="1" s="1"/>
  <c r="G183" i="1"/>
  <c r="D183" i="1" s="1"/>
  <c r="G182" i="1"/>
  <c r="D182" i="1" s="1"/>
  <c r="G181" i="1"/>
  <c r="D181" i="1" s="1"/>
  <c r="G180" i="1"/>
  <c r="D180" i="1" s="1"/>
  <c r="G179" i="1"/>
  <c r="D179" i="1" s="1"/>
  <c r="G178" i="1"/>
  <c r="D178" i="1" s="1"/>
  <c r="G177" i="1"/>
  <c r="D177" i="1" s="1"/>
  <c r="G176" i="1"/>
  <c r="D176" i="1" s="1"/>
  <c r="G175" i="1"/>
  <c r="D175" i="1" s="1"/>
  <c r="G174" i="1"/>
  <c r="D174" i="1" s="1"/>
  <c r="G173" i="1"/>
  <c r="D173" i="1" s="1"/>
  <c r="G172" i="1"/>
  <c r="D172" i="1" s="1"/>
  <c r="G171" i="1"/>
  <c r="D171" i="1" s="1"/>
  <c r="G170" i="1"/>
  <c r="D170" i="1" s="1"/>
  <c r="G169" i="1"/>
  <c r="D169" i="1" s="1"/>
  <c r="G168" i="1"/>
  <c r="D168" i="1" s="1"/>
  <c r="G167" i="1"/>
  <c r="D167" i="1" s="1"/>
  <c r="G166" i="1"/>
  <c r="D166" i="1" s="1"/>
  <c r="G165" i="1"/>
  <c r="D165" i="1" s="1"/>
  <c r="G164" i="1"/>
  <c r="D164" i="1" s="1"/>
  <c r="G163" i="1"/>
  <c r="D163" i="1" s="1"/>
  <c r="G162" i="1"/>
  <c r="D162" i="1" s="1"/>
  <c r="G161" i="1"/>
  <c r="D161" i="1" s="1"/>
  <c r="G160" i="1"/>
  <c r="D160" i="1" s="1"/>
  <c r="G159" i="1"/>
  <c r="D159" i="1" s="1"/>
  <c r="G158" i="1"/>
  <c r="D158" i="1" s="1"/>
  <c r="G157" i="1"/>
  <c r="D157" i="1" s="1"/>
  <c r="G156" i="1"/>
  <c r="D156" i="1" s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2" i="1"/>
</calcChain>
</file>

<file path=xl/sharedStrings.xml><?xml version="1.0" encoding="utf-8"?>
<sst xmlns="http://schemas.openxmlformats.org/spreadsheetml/2006/main" count="602" uniqueCount="182">
  <si>
    <t>공장</t>
  </si>
  <si>
    <t>공정코드</t>
  </si>
  <si>
    <t>기계코드</t>
  </si>
  <si>
    <t>A관(1공장)</t>
  </si>
  <si>
    <t>[20] 분리</t>
  </si>
  <si>
    <t>분리3호기</t>
  </si>
  <si>
    <t>C관(2공장)</t>
  </si>
  <si>
    <t>[45] 하이드레이션/전면검사</t>
  </si>
  <si>
    <t>워터배스2-12호기</t>
  </si>
  <si>
    <t>[55] 접착/ 멸균</t>
  </si>
  <si>
    <t>검사42호기</t>
  </si>
  <si>
    <t>워터배스1-3호기</t>
  </si>
  <si>
    <t>[80] 누수/규격검사</t>
  </si>
  <si>
    <t>누수/규격검사(2공장)</t>
  </si>
  <si>
    <t>워터배스2-2호기</t>
  </si>
  <si>
    <t>검사8호기</t>
  </si>
  <si>
    <t>[10] 사출조립</t>
  </si>
  <si>
    <t>조립48호기</t>
  </si>
  <si>
    <t>분리4호기</t>
  </si>
  <si>
    <t>검사14호기</t>
  </si>
  <si>
    <t>검사47호기</t>
  </si>
  <si>
    <t>검사41호기</t>
  </si>
  <si>
    <t>검사43호기</t>
  </si>
  <si>
    <t>분리30호기</t>
  </si>
  <si>
    <t>워터배스2-11호기</t>
  </si>
  <si>
    <t>검사34호기</t>
  </si>
  <si>
    <t>S관(3공장)</t>
  </si>
  <si>
    <t>A형 인라인4호기</t>
  </si>
  <si>
    <t>누수/규격검사(3공장)</t>
  </si>
  <si>
    <t>분리28호기</t>
  </si>
  <si>
    <t>검사44호기</t>
  </si>
  <si>
    <t>조립4호기</t>
  </si>
  <si>
    <t>조립7호기</t>
  </si>
  <si>
    <t>검사15호기</t>
  </si>
  <si>
    <t>분리22호기</t>
  </si>
  <si>
    <t>조립16호기</t>
  </si>
  <si>
    <t>검사40호기</t>
  </si>
  <si>
    <t>워터배스2-9호기</t>
  </si>
  <si>
    <t>워터배스2-14호기</t>
  </si>
  <si>
    <t>검사45호기</t>
  </si>
  <si>
    <t>조립52호기</t>
  </si>
  <si>
    <t>검사11호기</t>
  </si>
  <si>
    <t>조립47호기</t>
  </si>
  <si>
    <t>워터배스2-1호기</t>
  </si>
  <si>
    <t>A형 인라인3호기</t>
  </si>
  <si>
    <t>검사48호기</t>
  </si>
  <si>
    <t>검사36호기</t>
  </si>
  <si>
    <t>검사35호기</t>
  </si>
  <si>
    <t>분리33호기</t>
  </si>
  <si>
    <t>워터배스1-4호기</t>
  </si>
  <si>
    <t>검사46호기</t>
  </si>
  <si>
    <t>분리43호기</t>
  </si>
  <si>
    <t>B형 분리수화접착2호기</t>
  </si>
  <si>
    <t>B형 분리수화접착1호기</t>
  </si>
  <si>
    <t>분리31호기</t>
  </si>
  <si>
    <t>분리20호기</t>
  </si>
  <si>
    <t>조립50호기</t>
  </si>
  <si>
    <t>B형 분리수화접착4호기</t>
  </si>
  <si>
    <t>A형 인라인1호기</t>
  </si>
  <si>
    <t>A형 인라인2호기</t>
  </si>
  <si>
    <t>검사18호기</t>
  </si>
  <si>
    <t>A형 인라인6호기</t>
  </si>
  <si>
    <t>검사37호기</t>
  </si>
  <si>
    <t>검사23호기</t>
  </si>
  <si>
    <t>워터배스1-5호기</t>
  </si>
  <si>
    <t>S관 실리콘 자동수화기</t>
  </si>
  <si>
    <t>워터배스1-1호기</t>
  </si>
  <si>
    <t>조립59호기</t>
  </si>
  <si>
    <t>CAM분리3호기</t>
  </si>
  <si>
    <t>CAM분리4호기</t>
  </si>
  <si>
    <t>검사22호기</t>
  </si>
  <si>
    <t>A형 인라인5호기</t>
  </si>
  <si>
    <t>워터배스2-4호기</t>
  </si>
  <si>
    <t>검사38호기</t>
  </si>
  <si>
    <t>분리36호기</t>
  </si>
  <si>
    <t>B형 분리수화접착5호기</t>
  </si>
  <si>
    <t>누수/규격검사(1공장)</t>
  </si>
  <si>
    <t>워터배스2-13호기</t>
  </si>
  <si>
    <t>검사39호기</t>
  </si>
  <si>
    <t>분리25호기</t>
  </si>
  <si>
    <t>워터배스1-6호기</t>
  </si>
  <si>
    <t>검사17호기</t>
  </si>
  <si>
    <t>분리37호기</t>
  </si>
  <si>
    <t>검사10호기</t>
  </si>
  <si>
    <t>조립27호기</t>
  </si>
  <si>
    <t>워터배스2-10호기</t>
  </si>
  <si>
    <t>조립40호기</t>
  </si>
  <si>
    <t>분리13호기</t>
  </si>
  <si>
    <t>검사20호기</t>
  </si>
  <si>
    <t>1공장 실리콘수화기</t>
  </si>
  <si>
    <t>분리32호기</t>
  </si>
  <si>
    <t>분리34호기</t>
  </si>
  <si>
    <t>워터배스2-3호기</t>
  </si>
  <si>
    <t>분리16호기</t>
  </si>
  <si>
    <t>분리27호기</t>
  </si>
  <si>
    <t>분리35호기</t>
  </si>
  <si>
    <t>분리23호기</t>
  </si>
  <si>
    <t>분리5호기</t>
  </si>
  <si>
    <t>바이알캡핑기</t>
  </si>
  <si>
    <t>분리19호기</t>
  </si>
  <si>
    <t>조립6호기</t>
  </si>
  <si>
    <t>분리14호기</t>
  </si>
  <si>
    <t>조립25호기</t>
  </si>
  <si>
    <t>조립10호기</t>
  </si>
  <si>
    <t>조립5호기</t>
  </si>
  <si>
    <t>조립54호기</t>
  </si>
  <si>
    <t>분리24호기</t>
  </si>
  <si>
    <t>분리29호기</t>
  </si>
  <si>
    <t>조립31호기</t>
  </si>
  <si>
    <t>조립24호기</t>
  </si>
  <si>
    <t>조립11호기</t>
  </si>
  <si>
    <t>분리42호기(초음파)</t>
  </si>
  <si>
    <t>B형 조립중합3호기</t>
  </si>
  <si>
    <t>조립45호기</t>
  </si>
  <si>
    <t>워터배스1-2호기</t>
  </si>
  <si>
    <t>조립8호기</t>
  </si>
  <si>
    <t>분리26호기</t>
  </si>
  <si>
    <t>조립1호기</t>
  </si>
  <si>
    <t>조립2호기</t>
  </si>
  <si>
    <t>조립55호기</t>
  </si>
  <si>
    <t>조립58호기</t>
  </si>
  <si>
    <t>조립56호기</t>
  </si>
  <si>
    <t>조립42호기</t>
  </si>
  <si>
    <t>분리10호기</t>
  </si>
  <si>
    <t>워터배스2-5호기</t>
  </si>
  <si>
    <t>조립41호기</t>
  </si>
  <si>
    <t>검사21호기</t>
  </si>
  <si>
    <t>워터배스2-8호기</t>
  </si>
  <si>
    <t>조립22호기</t>
  </si>
  <si>
    <t>분리11호기</t>
  </si>
  <si>
    <t>B형 분리수화접착6호기</t>
  </si>
  <si>
    <t>B형 분리수화접착7호기</t>
  </si>
  <si>
    <t>CAM분리2호기</t>
  </si>
  <si>
    <t>검사9호기</t>
  </si>
  <si>
    <t>검사19호기</t>
  </si>
  <si>
    <t>조립3호기</t>
  </si>
  <si>
    <t>워터배스2-7호기</t>
  </si>
  <si>
    <t>CAM분리1호기</t>
  </si>
  <si>
    <t>검사6호기</t>
  </si>
  <si>
    <t>조립49호기</t>
  </si>
  <si>
    <t>검사16호기</t>
  </si>
  <si>
    <t>조립51호기</t>
  </si>
  <si>
    <t>조립44호기</t>
  </si>
  <si>
    <t>조립46호기</t>
  </si>
  <si>
    <t>조립26호기</t>
  </si>
  <si>
    <t>조립57호기</t>
  </si>
  <si>
    <t>조립53호기</t>
  </si>
  <si>
    <t>B형 분리수화접착3호기</t>
  </si>
  <si>
    <t>검사7호기</t>
  </si>
  <si>
    <t>조립17호기</t>
  </si>
  <si>
    <t>B형 분리수화접착8호기</t>
  </si>
  <si>
    <t>B형 조립중합5호기</t>
  </si>
  <si>
    <t>워터배스2-6호기</t>
  </si>
  <si>
    <r>
      <rPr>
        <sz val="12"/>
        <color theme="1"/>
        <rFont val="맑은 고딕"/>
        <family val="3"/>
        <charset val="129"/>
      </rPr>
      <t>이론상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최대</t>
    </r>
    <r>
      <rPr>
        <sz val="12"/>
        <color theme="1"/>
        <rFont val="Segoe UI"/>
        <family val="2"/>
      </rPr>
      <t xml:space="preserve"> </t>
    </r>
    <r>
      <rPr>
        <sz val="12"/>
        <color theme="1"/>
        <rFont val="맑은 고딕"/>
        <family val="3"/>
        <charset val="129"/>
      </rPr>
      <t>생산량</t>
    </r>
    <phoneticPr fontId="1" type="noConversion"/>
  </si>
  <si>
    <t>라우팅</t>
    <phoneticPr fontId="1" type="noConversion"/>
  </si>
  <si>
    <t>조립19호기</t>
  </si>
  <si>
    <t>분리21호기</t>
  </si>
  <si>
    <t>조립32호기</t>
  </si>
  <si>
    <t>조립43호기</t>
  </si>
  <si>
    <t>B형 조립중합1호기</t>
  </si>
  <si>
    <t>B형 조립중합6호기</t>
  </si>
  <si>
    <t>조립30호기</t>
  </si>
  <si>
    <t>조립20호기</t>
  </si>
  <si>
    <t>CAM분리5호기</t>
  </si>
  <si>
    <t>조립18호기</t>
  </si>
  <si>
    <t>B형 조립중합4호기</t>
  </si>
  <si>
    <t>CAM분리6호기</t>
  </si>
  <si>
    <t>분리1호기</t>
  </si>
  <si>
    <t>B형 조립중합7호기</t>
  </si>
  <si>
    <t>분리2호기</t>
  </si>
  <si>
    <t>2공장 MC수화기</t>
  </si>
  <si>
    <t>조립23호기</t>
  </si>
  <si>
    <t>분리41호기(초음파)</t>
  </si>
  <si>
    <t>조립21호기</t>
  </si>
  <si>
    <t>조립15호기</t>
  </si>
  <si>
    <t>분리8호기</t>
  </si>
  <si>
    <t>조립14호기</t>
  </si>
  <si>
    <t>검사30호기</t>
  </si>
  <si>
    <t>워터배스2-17호기</t>
  </si>
  <si>
    <t>검사33호기</t>
  </si>
  <si>
    <t>분리17호기</t>
  </si>
  <si>
    <t>분리18호기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</si>
</sst>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Segoe UI"/>
      <family val="2"/>
    </font>
    <font>
      <sz val="12"/>
      <color theme="1"/>
      <name val="맑은 고딕"/>
      <family val="3"/>
      <charset val="129"/>
    </font>
    <font>
      <sz val="12"/>
      <color theme="1"/>
      <name val="Segoe U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9.AI_Columbus_2025\2.AI\01.Production_Dashboard\&#44032;&#46041;&#50984;&#52280;&#44256;&#54028;&#51068;(&#44592;&#44228;&#48324;&#51060;&#47200;&#49345;CAPA)_&#49688;&#51221;&#44592;&#51077;_&#51060;&#49345;&#54840;ver.2.xlsx" TargetMode="External"/><Relationship Id="rId1" Type="http://schemas.openxmlformats.org/officeDocument/2006/relationships/externalLinkPath" Target="&#44032;&#46041;&#50984;&#52280;&#44256;&#54028;&#51068;(&#44592;&#44228;&#48324;&#51060;&#47200;&#49345;CAPA)_&#49688;&#51221;&#44592;&#51077;_&#51060;&#49345;&#54840;ver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월"/>
      <sheetName val="7월_수정기입"/>
      <sheetName val="워크센터"/>
    </sheetNames>
    <sheetDataSet>
      <sheetData sheetId="0"/>
      <sheetData sheetId="1">
        <row r="3">
          <cell r="D3" t="str">
            <v>A관(1공장) [10] 사출조립 조립1호기</v>
          </cell>
          <cell r="E3">
            <v>43200</v>
          </cell>
        </row>
        <row r="4">
          <cell r="D4" t="str">
            <v>A관(1공장) [10] 사출조립 조립2호기</v>
          </cell>
          <cell r="E4">
            <v>43200</v>
          </cell>
        </row>
        <row r="5">
          <cell r="D5" t="str">
            <v>A관(1공장) [10] 사출조립 조립3호기</v>
          </cell>
          <cell r="E5">
            <v>43200</v>
          </cell>
        </row>
        <row r="6">
          <cell r="D6" t="str">
            <v>A관(1공장) [10] 사출조립 조립4호기</v>
          </cell>
          <cell r="E6">
            <v>43200</v>
          </cell>
        </row>
        <row r="7">
          <cell r="D7" t="str">
            <v>A관(1공장) [10] 사출조립 조립5호기</v>
          </cell>
          <cell r="E7">
            <v>43200</v>
          </cell>
        </row>
        <row r="8">
          <cell r="D8" t="str">
            <v>A관(1공장) [10] 사출조립 조립6호기</v>
          </cell>
          <cell r="E8">
            <v>43200</v>
          </cell>
        </row>
        <row r="9">
          <cell r="D9" t="str">
            <v>A관(1공장) [10] 사출조립 조립7호기</v>
          </cell>
          <cell r="E9">
            <v>43200</v>
          </cell>
        </row>
        <row r="10">
          <cell r="D10" t="str">
            <v>A관(1공장) [10] 사출조립 조립8호기</v>
          </cell>
          <cell r="E10">
            <v>43200</v>
          </cell>
        </row>
        <row r="11">
          <cell r="D11" t="str">
            <v>A관(1공장) [10] 사출조립 조립30호기</v>
          </cell>
          <cell r="E11">
            <v>86400</v>
          </cell>
        </row>
        <row r="12">
          <cell r="D12" t="str">
            <v>A관(1공장) [10] 사출조립 조립31호기</v>
          </cell>
          <cell r="E12">
            <v>86400</v>
          </cell>
        </row>
        <row r="13">
          <cell r="D13" t="str">
            <v>A관(1공장) [10] 사출조립 조립32호기</v>
          </cell>
          <cell r="E13">
            <v>86400</v>
          </cell>
        </row>
        <row r="14">
          <cell r="D14" t="str">
            <v>A관(1공장) [10] 사출조립 조립33호기</v>
          </cell>
          <cell r="E14">
            <v>86400</v>
          </cell>
        </row>
        <row r="15">
          <cell r="D15" t="str">
            <v>A관(1공장) [20] 분리 분리3호기</v>
          </cell>
          <cell r="E15">
            <v>17280</v>
          </cell>
        </row>
        <row r="16">
          <cell r="D16" t="str">
            <v>A관(1공장) [20] 분리 분리4호기</v>
          </cell>
          <cell r="E16">
            <v>17280</v>
          </cell>
        </row>
        <row r="17">
          <cell r="D17" t="str">
            <v>A관(1공장) [20] 분리 분리5호기</v>
          </cell>
          <cell r="E17">
            <v>17280</v>
          </cell>
        </row>
        <row r="18">
          <cell r="D18" t="str">
            <v>A관(1공장) [20] 분리 분리10호기</v>
          </cell>
          <cell r="E18">
            <v>17280</v>
          </cell>
        </row>
        <row r="19">
          <cell r="D19" t="str">
            <v>A관(1공장) [20] 분리 분리11호기</v>
          </cell>
          <cell r="E19">
            <v>17280</v>
          </cell>
        </row>
        <row r="20">
          <cell r="D20" t="str">
            <v>A관(1공장) [20] 분리 분리14호기</v>
          </cell>
          <cell r="E20">
            <v>54000</v>
          </cell>
        </row>
        <row r="21">
          <cell r="D21" t="str">
            <v>A관(1공장) [20] 분리 CAM분리5호기</v>
          </cell>
          <cell r="E21">
            <v>39273</v>
          </cell>
        </row>
        <row r="22">
          <cell r="D22" t="str">
            <v>A관(1공장) [20] 분리 CAM분리6호기</v>
          </cell>
          <cell r="E22">
            <v>39273</v>
          </cell>
        </row>
        <row r="23">
          <cell r="D23" t="str">
            <v>A관(1공장) [20] 분리 분리41호기(초음파)</v>
          </cell>
          <cell r="E23">
            <v>62837</v>
          </cell>
        </row>
        <row r="24">
          <cell r="D24" t="str">
            <v>A관(1공장) [20] 분리 분리42호기(초음파)</v>
          </cell>
          <cell r="E24">
            <v>62837</v>
          </cell>
        </row>
        <row r="25">
          <cell r="D25" t="str">
            <v>A관(1공장) [45] 하이드레이션/전면검사 워터배스1-1호기</v>
          </cell>
          <cell r="E25">
            <v>30000</v>
          </cell>
        </row>
        <row r="26">
          <cell r="D26" t="str">
            <v>A관(1공장) [45] 하이드레이션/전면검사 워터배스1-2호기</v>
          </cell>
          <cell r="E26">
            <v>30000</v>
          </cell>
        </row>
        <row r="27">
          <cell r="D27" t="str">
            <v>A관(1공장) [45] 하이드레이션/전면검사 워터배스1-3호기</v>
          </cell>
          <cell r="E27">
            <v>30000</v>
          </cell>
        </row>
        <row r="28">
          <cell r="D28" t="str">
            <v>A관(1공장) [45] 하이드레이션/전면검사 워터배스1-4호기</v>
          </cell>
          <cell r="E28">
            <v>30000</v>
          </cell>
        </row>
        <row r="29">
          <cell r="D29" t="str">
            <v>A관(1공장) [45] 하이드레이션/전면검사 워터배스1-5호기</v>
          </cell>
          <cell r="E29">
            <v>150000</v>
          </cell>
        </row>
        <row r="30">
          <cell r="D30" t="str">
            <v>A관(1공장) [45] 하이드레이션/전면검사 워터배스1-6호기</v>
          </cell>
          <cell r="E30">
            <v>150000</v>
          </cell>
        </row>
        <row r="31">
          <cell r="D31" t="str">
            <v>A관(1공장) [55] 접착/ 멸균 A관 멸균1호기</v>
          </cell>
          <cell r="E31">
            <v>752000</v>
          </cell>
        </row>
        <row r="32">
          <cell r="D32" t="str">
            <v>A관(1공장) [55] 접착/ 멸균 검사6호기</v>
          </cell>
          <cell r="E32">
            <v>13293</v>
          </cell>
        </row>
        <row r="33">
          <cell r="D33" t="str">
            <v>A관(1공장) [55] 접착/ 멸균 검사7호기</v>
          </cell>
          <cell r="E33">
            <v>13293</v>
          </cell>
        </row>
        <row r="34">
          <cell r="D34" t="str">
            <v>A관(1공장) [55] 접착/ 멸균 검사8호기</v>
          </cell>
          <cell r="E34">
            <v>13293</v>
          </cell>
        </row>
        <row r="35">
          <cell r="D35" t="str">
            <v>A관(1공장) [55] 접착/ 멸균 검사9호기</v>
          </cell>
          <cell r="E35">
            <v>13293</v>
          </cell>
        </row>
        <row r="36">
          <cell r="D36" t="str">
            <v>A관(1공장) [55] 접착/ 멸균 검사10호기</v>
          </cell>
          <cell r="E36">
            <v>13293</v>
          </cell>
        </row>
        <row r="37">
          <cell r="D37" t="str">
            <v>A관(1공장) [55] 접착/ 멸균 검사11호기</v>
          </cell>
          <cell r="E37">
            <v>13293</v>
          </cell>
        </row>
        <row r="38">
          <cell r="D38" t="str">
            <v>A관(1공장) [55] 접착/ 멸균 검사14호기</v>
          </cell>
          <cell r="E38">
            <v>13293</v>
          </cell>
        </row>
        <row r="39">
          <cell r="D39" t="str">
            <v>A관(1공장) [55] 접착/ 멸균 검사15호기</v>
          </cell>
          <cell r="E39">
            <v>13293</v>
          </cell>
        </row>
        <row r="40">
          <cell r="D40" t="str">
            <v>A관(1공장) [55] 접착/ 멸균 검사16호기</v>
          </cell>
          <cell r="E40">
            <v>13293</v>
          </cell>
        </row>
        <row r="41">
          <cell r="D41" t="str">
            <v>A관(1공장) [55] 접착/ 멸균 검사17호기</v>
          </cell>
          <cell r="E41">
            <v>13293</v>
          </cell>
        </row>
        <row r="42">
          <cell r="D42" t="str">
            <v>A관(1공장) [55] 접착/ 멸균 검사18호기</v>
          </cell>
          <cell r="E42">
            <v>13293</v>
          </cell>
        </row>
        <row r="43">
          <cell r="D43" t="str">
            <v>A관(1공장) [55] 접착/ 멸균 검사19호기</v>
          </cell>
          <cell r="E43">
            <v>13293</v>
          </cell>
        </row>
        <row r="44">
          <cell r="D44" t="str">
            <v>A관(1공장) [55] 접착/ 멸균 검사20호기</v>
          </cell>
          <cell r="E44">
            <v>13293</v>
          </cell>
        </row>
        <row r="45">
          <cell r="D45" t="str">
            <v>A관(1공장) [55] 접착/ 멸균 검사21호기</v>
          </cell>
          <cell r="E45">
            <v>13293</v>
          </cell>
        </row>
        <row r="46">
          <cell r="D46" t="str">
            <v>A관(1공장) [55] 접착/ 멸균 검사22호기</v>
          </cell>
          <cell r="E46">
            <v>13293</v>
          </cell>
        </row>
        <row r="47">
          <cell r="D47" t="str">
            <v>A관(1공장) [55] 접착/ 멸균 검사23호기</v>
          </cell>
          <cell r="E47">
            <v>13293</v>
          </cell>
        </row>
        <row r="48">
          <cell r="D48" t="str">
            <v>A관(1공장) [80] 누수/규격검사 누수/규격검사(1공장)</v>
          </cell>
          <cell r="E48">
            <v>108000</v>
          </cell>
        </row>
        <row r="49">
          <cell r="D49" t="str">
            <v>C관(2공장) [10] 사출조립 조립10호기</v>
          </cell>
          <cell r="E49">
            <v>43200</v>
          </cell>
        </row>
        <row r="50">
          <cell r="D50" t="str">
            <v>C관(2공장) [10] 사출조립 조립11호기</v>
          </cell>
          <cell r="E50">
            <v>43200</v>
          </cell>
        </row>
        <row r="51">
          <cell r="D51" t="str">
            <v>C관(2공장) [10] 사출조립 조립12호기</v>
          </cell>
          <cell r="E51">
            <v>43200</v>
          </cell>
        </row>
        <row r="52">
          <cell r="D52" t="str">
            <v>C관(2공장) [10] 사출조립 조립13호기</v>
          </cell>
          <cell r="E52">
            <v>43200</v>
          </cell>
        </row>
        <row r="53">
          <cell r="D53" t="str">
            <v>C관(2공장) [10] 사출조립 조립14호기</v>
          </cell>
          <cell r="E53">
            <v>43200</v>
          </cell>
        </row>
        <row r="54">
          <cell r="D54" t="str">
            <v>C관(2공장) [10] 사출조립 조립15호기</v>
          </cell>
          <cell r="E54">
            <v>43200</v>
          </cell>
        </row>
        <row r="55">
          <cell r="D55" t="str">
            <v>C관(2공장) [10] 사출조립 조립16호기</v>
          </cell>
          <cell r="E55">
            <v>43200</v>
          </cell>
        </row>
        <row r="56">
          <cell r="D56" t="str">
            <v>C관(2공장) [10] 사출조립 조립17호기</v>
          </cell>
          <cell r="E56">
            <v>43200</v>
          </cell>
        </row>
        <row r="57">
          <cell r="D57" t="str">
            <v>C관(2공장) [10] 사출조립 조립18호기</v>
          </cell>
          <cell r="E57">
            <v>43200</v>
          </cell>
        </row>
        <row r="58">
          <cell r="D58" t="str">
            <v>C관(2공장) [10] 사출조립 조립19호기</v>
          </cell>
          <cell r="E58">
            <v>43200</v>
          </cell>
        </row>
        <row r="59">
          <cell r="D59" t="str">
            <v>C관(2공장) [10] 사출조립 조립20호기</v>
          </cell>
          <cell r="E59">
            <v>43200</v>
          </cell>
        </row>
        <row r="60">
          <cell r="D60" t="str">
            <v>C관(2공장) [10] 사출조립 조립21호기</v>
          </cell>
          <cell r="E60">
            <v>43200</v>
          </cell>
        </row>
        <row r="61">
          <cell r="D61" t="str">
            <v>C관(2공장) [10] 사출조립 조립22호기</v>
          </cell>
          <cell r="E61">
            <v>43200</v>
          </cell>
        </row>
        <row r="62">
          <cell r="D62" t="str">
            <v>C관(2공장) [10] 사출조립 조립23호기</v>
          </cell>
          <cell r="E62">
            <v>43200</v>
          </cell>
        </row>
        <row r="63">
          <cell r="D63" t="str">
            <v>C관(2공장) [10] 사출조립 조립24호기</v>
          </cell>
          <cell r="E63">
            <v>43200</v>
          </cell>
        </row>
        <row r="64">
          <cell r="D64" t="str">
            <v>C관(2공장) [10] 사출조립 조립25호기</v>
          </cell>
          <cell r="E64">
            <v>43200</v>
          </cell>
        </row>
        <row r="65">
          <cell r="D65" t="str">
            <v>C관(2공장) [10] 사출조립 조립26호기</v>
          </cell>
          <cell r="E65">
            <v>43200</v>
          </cell>
        </row>
        <row r="66">
          <cell r="D66" t="str">
            <v>C관(2공장) [10] 사출조립 조립27호기</v>
          </cell>
          <cell r="E66">
            <v>43200</v>
          </cell>
        </row>
        <row r="67">
          <cell r="D67" t="str">
            <v>C관(2공장) [10] 사출조립 조립40호기</v>
          </cell>
          <cell r="E67">
            <v>43200</v>
          </cell>
        </row>
        <row r="68">
          <cell r="D68" t="str">
            <v>C관(2공장) [10] 사출조립 조립41호기</v>
          </cell>
          <cell r="E68">
            <v>43200</v>
          </cell>
        </row>
        <row r="69">
          <cell r="D69" t="str">
            <v>C관(2공장) [10] 사출조립 조립42호기</v>
          </cell>
          <cell r="E69">
            <v>43200</v>
          </cell>
        </row>
        <row r="70">
          <cell r="D70" t="str">
            <v>C관(2공장) [10] 사출조립 조립43호기</v>
          </cell>
          <cell r="E70">
            <v>43200</v>
          </cell>
        </row>
        <row r="71">
          <cell r="D71" t="str">
            <v>C관(2공장) [10] 사출조립 조립44호기</v>
          </cell>
          <cell r="E71">
            <v>43200</v>
          </cell>
        </row>
        <row r="72">
          <cell r="D72" t="str">
            <v>C관(2공장) [10] 사출조립 조립45호기</v>
          </cell>
          <cell r="E72">
            <v>43200</v>
          </cell>
        </row>
        <row r="73">
          <cell r="D73" t="str">
            <v>C관(2공장) [10] 사출조립 조립46호기</v>
          </cell>
          <cell r="E73">
            <v>43200</v>
          </cell>
        </row>
        <row r="74">
          <cell r="D74" t="str">
            <v>C관(2공장) [10] 사출조립 조립47호기</v>
          </cell>
          <cell r="E74">
            <v>43200</v>
          </cell>
        </row>
        <row r="75">
          <cell r="D75" t="str">
            <v>C관(2공장) [10] 사출조립 조립48호기</v>
          </cell>
          <cell r="E75">
            <v>43200</v>
          </cell>
        </row>
        <row r="76">
          <cell r="D76" t="str">
            <v>C관(2공장) [10] 사출조립 조립49호기</v>
          </cell>
          <cell r="E76">
            <v>43200</v>
          </cell>
        </row>
        <row r="77">
          <cell r="D77" t="str">
            <v>C관(2공장) [10] 사출조립 조립50호기</v>
          </cell>
          <cell r="E77">
            <v>43200</v>
          </cell>
        </row>
        <row r="78">
          <cell r="D78" t="str">
            <v>C관(2공장) [10] 사출조립 조립51호기</v>
          </cell>
          <cell r="E78">
            <v>43200</v>
          </cell>
        </row>
        <row r="79">
          <cell r="D79" t="str">
            <v>C관(2공장) [10] 사출조립 조립52호기</v>
          </cell>
          <cell r="E79">
            <v>43200</v>
          </cell>
        </row>
        <row r="80">
          <cell r="D80" t="str">
            <v>C관(2공장) [10] 사출조립 조립53호기</v>
          </cell>
          <cell r="E80">
            <v>43200</v>
          </cell>
        </row>
        <row r="81">
          <cell r="D81" t="str">
            <v>C관(2공장) [10] 사출조립 조립54호기</v>
          </cell>
          <cell r="E81">
            <v>43200</v>
          </cell>
        </row>
        <row r="82">
          <cell r="D82" t="str">
            <v>C관(2공장) [10] 사출조립 조립55호기</v>
          </cell>
          <cell r="E82">
            <v>43200</v>
          </cell>
        </row>
        <row r="83">
          <cell r="D83" t="str">
            <v>C관(2공장) [10] 사출조립 조립56호기</v>
          </cell>
          <cell r="E83">
            <v>43200</v>
          </cell>
        </row>
        <row r="84">
          <cell r="D84" t="str">
            <v>C관(2공장) [10] 사출조립 조립57호기</v>
          </cell>
          <cell r="E84">
            <v>43200</v>
          </cell>
        </row>
        <row r="85">
          <cell r="D85" t="str">
            <v>C관(2공장) [10] 사출조립 조립58호기</v>
          </cell>
          <cell r="E85">
            <v>43200</v>
          </cell>
        </row>
        <row r="86">
          <cell r="D86" t="str">
            <v>C관(2공장) [10] 사출조립 조립59호기</v>
          </cell>
          <cell r="E86">
            <v>43200</v>
          </cell>
        </row>
        <row r="87">
          <cell r="D87" t="str">
            <v>C관(2공장) [20] 분리 분리12호기</v>
          </cell>
          <cell r="E87">
            <v>61715</v>
          </cell>
        </row>
        <row r="88">
          <cell r="D88" t="str">
            <v>C관(2공장) [20] 분리 분리13호기</v>
          </cell>
          <cell r="E88">
            <v>61715</v>
          </cell>
        </row>
        <row r="89">
          <cell r="D89" t="str">
            <v>C관(2공장) [20] 분리 분리15호기</v>
          </cell>
          <cell r="E89">
            <v>61715</v>
          </cell>
        </row>
        <row r="90">
          <cell r="D90" t="str">
            <v>C관(2공장) [20] 분리 분리16호기</v>
          </cell>
          <cell r="E90">
            <v>61715</v>
          </cell>
        </row>
        <row r="91">
          <cell r="D91" t="str">
            <v>C관(2공장) [20] 분리 분리17호기</v>
          </cell>
          <cell r="E91">
            <v>61715</v>
          </cell>
        </row>
        <row r="92">
          <cell r="D92" t="str">
            <v>C관(2공장) [20] 분리 분리18호기</v>
          </cell>
          <cell r="E92">
            <v>61715</v>
          </cell>
        </row>
        <row r="93">
          <cell r="D93" t="str">
            <v>C관(2공장) [20] 분리 분리19호기</v>
          </cell>
          <cell r="E93">
            <v>61715</v>
          </cell>
        </row>
        <row r="94">
          <cell r="D94" t="str">
            <v>C관(2공장) [20] 분리 분리20호기</v>
          </cell>
          <cell r="E94">
            <v>61715</v>
          </cell>
        </row>
        <row r="95">
          <cell r="D95" t="str">
            <v>C관(2공장) [20] 분리 분리21호기</v>
          </cell>
          <cell r="E95">
            <v>61715</v>
          </cell>
        </row>
        <row r="96">
          <cell r="D96" t="str">
            <v>C관(2공장) [20] 분리 분리22호기</v>
          </cell>
          <cell r="E96">
            <v>61715</v>
          </cell>
        </row>
        <row r="97">
          <cell r="D97" t="str">
            <v>C관(2공장) [20] 분리 분리23호기</v>
          </cell>
          <cell r="E97">
            <v>61715</v>
          </cell>
        </row>
        <row r="98">
          <cell r="D98" t="str">
            <v>C관(2공장) [20] 분리 분리24호기</v>
          </cell>
          <cell r="E98">
            <v>61715</v>
          </cell>
        </row>
        <row r="99">
          <cell r="D99" t="str">
            <v>C관(2공장) [20] 분리 분리25호기</v>
          </cell>
          <cell r="E99">
            <v>61715</v>
          </cell>
        </row>
        <row r="100">
          <cell r="D100" t="str">
            <v>C관(2공장) [20] 분리 분리26호기</v>
          </cell>
          <cell r="E100">
            <v>54000</v>
          </cell>
        </row>
        <row r="101">
          <cell r="D101" t="str">
            <v>C관(2공장) [20] 분리 분리27호기</v>
          </cell>
          <cell r="E101">
            <v>54000</v>
          </cell>
        </row>
        <row r="102">
          <cell r="D102" t="str">
            <v>C관(2공장) [20] 분리 분리28호기</v>
          </cell>
          <cell r="E102">
            <v>54000</v>
          </cell>
        </row>
        <row r="103">
          <cell r="D103" t="str">
            <v>C관(2공장) [20] 분리 분리29호기</v>
          </cell>
          <cell r="E103">
            <v>54000</v>
          </cell>
        </row>
        <row r="104">
          <cell r="D104" t="str">
            <v>C관(2공장) [20] 분리 분리30호기</v>
          </cell>
          <cell r="E104">
            <v>54000</v>
          </cell>
        </row>
        <row r="105">
          <cell r="D105" t="str">
            <v>C관(2공장) [20] 분리 분리31호기</v>
          </cell>
          <cell r="E105">
            <v>54000</v>
          </cell>
        </row>
        <row r="106">
          <cell r="D106" t="str">
            <v>C관(2공장) [20] 분리 분리32호기</v>
          </cell>
          <cell r="E106">
            <v>54000</v>
          </cell>
        </row>
        <row r="107">
          <cell r="D107" t="str">
            <v>C관(2공장) [20] 분리 분리33호기</v>
          </cell>
          <cell r="E107">
            <v>54000</v>
          </cell>
        </row>
        <row r="108">
          <cell r="D108" t="str">
            <v>C관(2공장) [20] 분리 분리34호기</v>
          </cell>
          <cell r="E108">
            <v>54000</v>
          </cell>
        </row>
        <row r="109">
          <cell r="D109" t="str">
            <v>C관(2공장) [20] 분리 분리35호기</v>
          </cell>
          <cell r="E109">
            <v>54000</v>
          </cell>
        </row>
        <row r="110">
          <cell r="D110" t="str">
            <v>C관(2공장) [20] 분리 분리36호기</v>
          </cell>
          <cell r="E110">
            <v>54000</v>
          </cell>
        </row>
        <row r="111">
          <cell r="D111" t="str">
            <v>C관(2공장) [20] 분리 분리37호기</v>
          </cell>
          <cell r="E111">
            <v>54000</v>
          </cell>
        </row>
        <row r="112">
          <cell r="D112" t="str">
            <v>C관(2공장) [20] 분리 분리43호기</v>
          </cell>
          <cell r="E112">
            <v>54000</v>
          </cell>
        </row>
        <row r="113">
          <cell r="D113" t="str">
            <v>C관(2공장) [20] 분리 분리44호기</v>
          </cell>
          <cell r="E113">
            <v>54000</v>
          </cell>
        </row>
        <row r="114">
          <cell r="D114" t="str">
            <v>C관(2공장) [20] 분리 분리6호기(초음파)</v>
          </cell>
          <cell r="E114">
            <v>36000</v>
          </cell>
        </row>
        <row r="115">
          <cell r="D115" t="str">
            <v>C관(2공장) [20] 분리 분리38호기(초음파)</v>
          </cell>
          <cell r="E115">
            <v>36000</v>
          </cell>
        </row>
        <row r="116">
          <cell r="D116" t="str">
            <v>C관(2공장) [20] 분리 분리39호기(초음파)</v>
          </cell>
          <cell r="E116">
            <v>36000</v>
          </cell>
        </row>
        <row r="117">
          <cell r="D117" t="str">
            <v>C관(2공장) [20] 분리 분리40호기(초음파)</v>
          </cell>
          <cell r="E117">
            <v>36000</v>
          </cell>
        </row>
        <row r="118">
          <cell r="D118" t="str">
            <v>C관(2공장) [45] 하이드레이션/전면검사 워터배스2-1호기</v>
          </cell>
          <cell r="E118">
            <v>120000</v>
          </cell>
        </row>
        <row r="119">
          <cell r="D119" t="str">
            <v>C관(2공장) [45] 하이드레이션/전면검사 워터배스2-2호기</v>
          </cell>
          <cell r="E119">
            <v>120000</v>
          </cell>
        </row>
        <row r="120">
          <cell r="D120" t="str">
            <v>C관(2공장) [45] 하이드레이션/전면검사 워터배스2-3호기</v>
          </cell>
          <cell r="E120">
            <v>120000</v>
          </cell>
        </row>
        <row r="121">
          <cell r="D121" t="str">
            <v>C관(2공장) [45] 하이드레이션/전면검사 워터배스2-4호기</v>
          </cell>
          <cell r="E121">
            <v>120000</v>
          </cell>
        </row>
        <row r="122">
          <cell r="D122" t="str">
            <v>C관(2공장) [45] 하이드레이션/전면검사 워터배스2-5호기</v>
          </cell>
          <cell r="E122">
            <v>120000</v>
          </cell>
        </row>
        <row r="123">
          <cell r="D123" t="str">
            <v>C관(2공장) [45] 하이드레이션/전면검사 워터배스2-6호기</v>
          </cell>
          <cell r="E123">
            <v>30000</v>
          </cell>
        </row>
        <row r="124">
          <cell r="D124" t="str">
            <v>C관(2공장) [45] 하이드레이션/전면검사 워터배스2-7호기</v>
          </cell>
          <cell r="E124">
            <v>120000</v>
          </cell>
        </row>
        <row r="125">
          <cell r="D125" t="str">
            <v>C관(2공장) [45] 하이드레이션/전면검사 워터배스2-8호기</v>
          </cell>
          <cell r="E125">
            <v>120000</v>
          </cell>
        </row>
        <row r="126">
          <cell r="D126" t="str">
            <v>C관(2공장) [45] 하이드레이션/전면검사 워터배스2-9호기</v>
          </cell>
          <cell r="E126">
            <v>120000</v>
          </cell>
        </row>
        <row r="127">
          <cell r="D127" t="str">
            <v>C관(2공장) [45] 하이드레이션/전면검사 워터배스2-10호기</v>
          </cell>
          <cell r="E127">
            <v>120000</v>
          </cell>
        </row>
        <row r="128">
          <cell r="D128" t="str">
            <v>C관(2공장) [45] 하이드레이션/전면검사 워터배스2-11호기</v>
          </cell>
          <cell r="E128">
            <v>150000</v>
          </cell>
        </row>
        <row r="129">
          <cell r="D129" t="str">
            <v>C관(2공장) [45] 하이드레이션/전면검사 워터배스2-12호기</v>
          </cell>
          <cell r="E129">
            <v>150000</v>
          </cell>
        </row>
        <row r="130">
          <cell r="D130" t="str">
            <v>C관(2공장) [45] 하이드레이션/전면검사 워터배스2-13호기</v>
          </cell>
          <cell r="E130">
            <v>150000</v>
          </cell>
        </row>
        <row r="131">
          <cell r="D131" t="str">
            <v>C관(2공장) [45] 하이드레이션/전면검사 워터배스2-14호기</v>
          </cell>
          <cell r="E131">
            <v>150000</v>
          </cell>
        </row>
        <row r="132">
          <cell r="D132" t="str">
            <v>C관(2공장) [45] 하이드레이션/전면검사 워터배스2-15호기</v>
          </cell>
          <cell r="E132">
            <v>150000</v>
          </cell>
        </row>
        <row r="133">
          <cell r="D133" t="str">
            <v>C관(2공장) [55] 접착/ 멸균 C관 멸균기1호기</v>
          </cell>
          <cell r="E133">
            <v>752000</v>
          </cell>
        </row>
        <row r="134">
          <cell r="D134" t="str">
            <v>C관(2공장) [55] 접착/ 멸균 C관 멸균기2호기</v>
          </cell>
          <cell r="E134">
            <v>752000</v>
          </cell>
        </row>
        <row r="135">
          <cell r="D135" t="str">
            <v>C관(2공장) [55] 접착/ 멸균 검사30호기</v>
          </cell>
          <cell r="E135">
            <v>66462</v>
          </cell>
        </row>
        <row r="136">
          <cell r="D136" t="str">
            <v>C관(2공장) [55] 접착/ 멸균 검사31호기</v>
          </cell>
          <cell r="E136">
            <v>66462</v>
          </cell>
        </row>
        <row r="137">
          <cell r="D137" t="str">
            <v>C관(2공장) [55] 접착/ 멸균 검사32호기</v>
          </cell>
          <cell r="E137">
            <v>66462</v>
          </cell>
        </row>
        <row r="138">
          <cell r="D138" t="str">
            <v>C관(2공장) [55] 접착/ 멸균 검사33호기</v>
          </cell>
          <cell r="E138">
            <v>66462</v>
          </cell>
        </row>
        <row r="139">
          <cell r="D139" t="str">
            <v>C관(2공장) [55] 접착/ 멸균 검사34호기</v>
          </cell>
          <cell r="E139">
            <v>78546</v>
          </cell>
        </row>
        <row r="140">
          <cell r="D140" t="str">
            <v>C관(2공장) [55] 접착/ 멸균 검사35호기</v>
          </cell>
          <cell r="E140">
            <v>78546</v>
          </cell>
        </row>
        <row r="141">
          <cell r="D141" t="str">
            <v>C관(2공장) [55] 접착/ 멸균 검사36호기</v>
          </cell>
          <cell r="E141">
            <v>78546</v>
          </cell>
        </row>
        <row r="142">
          <cell r="D142" t="str">
            <v>C관(2공장) [55] 접착/ 멸균 검사37호기</v>
          </cell>
          <cell r="E142">
            <v>78546</v>
          </cell>
        </row>
        <row r="143">
          <cell r="D143" t="str">
            <v>C관(2공장) [55] 접착/ 멸균 검사38호기</v>
          </cell>
          <cell r="E143">
            <v>78546</v>
          </cell>
        </row>
        <row r="144">
          <cell r="D144" t="str">
            <v>C관(2공장) [55] 접착/ 멸균 검사39호기</v>
          </cell>
          <cell r="E144">
            <v>78546</v>
          </cell>
        </row>
        <row r="145">
          <cell r="D145" t="str">
            <v>C관(2공장) [55] 접착/ 멸균 검사40호기</v>
          </cell>
          <cell r="E145">
            <v>78546</v>
          </cell>
        </row>
        <row r="146">
          <cell r="D146" t="str">
            <v>C관(2공장) [55] 접착/ 멸균 검사41호기</v>
          </cell>
          <cell r="E146">
            <v>78546</v>
          </cell>
        </row>
        <row r="147">
          <cell r="D147" t="str">
            <v>C관(2공장) [55] 접착/ 멸균 검사42호기</v>
          </cell>
          <cell r="E147">
            <v>78546</v>
          </cell>
        </row>
        <row r="148">
          <cell r="D148" t="str">
            <v>C관(2공장) [55] 접착/ 멸균 검사43호기</v>
          </cell>
          <cell r="E148">
            <v>78546</v>
          </cell>
        </row>
        <row r="149">
          <cell r="D149" t="str">
            <v>C관(2공장) [55] 접착/ 멸균 검사44호기</v>
          </cell>
          <cell r="E149">
            <v>78546</v>
          </cell>
        </row>
        <row r="150">
          <cell r="D150" t="str">
            <v>C관(2공장) [55] 접착/ 멸균 검사45호기</v>
          </cell>
          <cell r="E150">
            <v>78546</v>
          </cell>
        </row>
        <row r="151">
          <cell r="D151" t="str">
            <v>C관(2공장) [55] 접착/ 멸균 검사46호기</v>
          </cell>
          <cell r="E151">
            <v>78546</v>
          </cell>
        </row>
        <row r="152">
          <cell r="D152" t="str">
            <v>C관(2공장) [55] 접착/ 멸균 검사47호기</v>
          </cell>
          <cell r="E152">
            <v>78546</v>
          </cell>
        </row>
        <row r="153">
          <cell r="D153" t="str">
            <v>C관(2공장) [55] 접착/ 멸균 검사48호기</v>
          </cell>
          <cell r="E153">
            <v>78546</v>
          </cell>
        </row>
        <row r="154">
          <cell r="D154" t="str">
            <v>C관(2공장) [80] 누수/규격검사 누수/규격검사(2공장)</v>
          </cell>
          <cell r="E154">
            <v>720000</v>
          </cell>
        </row>
        <row r="155">
          <cell r="D155" t="str">
            <v>S관(3공장) [10] 사출조립 A형 인라인1호기</v>
          </cell>
          <cell r="E155">
            <v>43200</v>
          </cell>
        </row>
        <row r="156">
          <cell r="D156" t="str">
            <v>S관(3공장) [10] 사출조립 A형 인라인2호기</v>
          </cell>
          <cell r="E156">
            <v>43200</v>
          </cell>
        </row>
        <row r="157">
          <cell r="D157" t="str">
            <v>S관(3공장) [10] 사출조립 A형 인라인3호기</v>
          </cell>
          <cell r="E157">
            <v>43200</v>
          </cell>
        </row>
        <row r="158">
          <cell r="D158" t="str">
            <v>S관(3공장) [10] 사출조립 A형 인라인4호기</v>
          </cell>
          <cell r="E158">
            <v>43200</v>
          </cell>
        </row>
        <row r="159">
          <cell r="D159" t="str">
            <v>S관(3공장) [10] 사출조립 A형 인라인5호기</v>
          </cell>
          <cell r="E159">
            <v>43200</v>
          </cell>
        </row>
        <row r="160">
          <cell r="D160" t="str">
            <v>S관(3공장) [10] 사출조립 A형 인라인6호기</v>
          </cell>
          <cell r="E160">
            <v>43200</v>
          </cell>
        </row>
        <row r="161">
          <cell r="D161" t="str">
            <v>S관(3공장) [20] 분리 A형 인라인1호기</v>
          </cell>
          <cell r="E161">
            <v>43200</v>
          </cell>
        </row>
        <row r="162">
          <cell r="D162" t="str">
            <v>S관(3공장) [20] 분리 A형 인라인2호기</v>
          </cell>
          <cell r="E162">
            <v>43200</v>
          </cell>
        </row>
        <row r="163">
          <cell r="D163" t="str">
            <v>S관(3공장) [20] 분리 A형 인라인3호기</v>
          </cell>
          <cell r="E163">
            <v>43200</v>
          </cell>
        </row>
        <row r="164">
          <cell r="D164" t="str">
            <v>S관(3공장) [20] 분리 A형 인라인4호기</v>
          </cell>
          <cell r="E164">
            <v>43200</v>
          </cell>
        </row>
        <row r="165">
          <cell r="D165" t="str">
            <v>S관(3공장) [20] 분리 A형 인라인5호기</v>
          </cell>
          <cell r="E165">
            <v>43200</v>
          </cell>
        </row>
        <row r="166">
          <cell r="D166" t="str">
            <v>S관(3공장) [20] 분리 A형 인라인6호기</v>
          </cell>
          <cell r="E166">
            <v>43200</v>
          </cell>
        </row>
        <row r="167">
          <cell r="D167" t="str">
            <v>S관(3공장) [45] 하이드레이션/전면검사 A형 인라인1호기</v>
          </cell>
          <cell r="E167">
            <v>60000</v>
          </cell>
        </row>
        <row r="168">
          <cell r="D168" t="str">
            <v>S관(3공장) [45] 하이드레이션/전면검사 A형 인라인2호기</v>
          </cell>
          <cell r="E168">
            <v>60000</v>
          </cell>
        </row>
        <row r="169">
          <cell r="D169" t="str">
            <v>S관(3공장) [45] 하이드레이션/전면검사 A형 인라인3호기</v>
          </cell>
          <cell r="E169">
            <v>60000</v>
          </cell>
        </row>
        <row r="170">
          <cell r="D170" t="str">
            <v>S관(3공장) [45] 하이드레이션/전면검사 A형 인라인4호기</v>
          </cell>
          <cell r="E170">
            <v>60000</v>
          </cell>
        </row>
        <row r="171">
          <cell r="D171" t="str">
            <v>S관(3공장) [45] 하이드레이션/전면검사 A형 인라인5호기</v>
          </cell>
          <cell r="E171">
            <v>60000</v>
          </cell>
        </row>
        <row r="172">
          <cell r="D172" t="str">
            <v>S관(3공장) [45] 하이드레이션/전면검사 A형 인라인6호기</v>
          </cell>
          <cell r="E172">
            <v>60000</v>
          </cell>
        </row>
        <row r="173">
          <cell r="D173" t="str">
            <v>S관(3공장) [55] 접착/ 멸균 A형 인라인1호기</v>
          </cell>
          <cell r="E173">
            <v>54000</v>
          </cell>
        </row>
        <row r="174">
          <cell r="D174" t="str">
            <v>S관(3공장) [55] 접착/ 멸균 A형 인라인2호기</v>
          </cell>
          <cell r="E174">
            <v>54000</v>
          </cell>
        </row>
        <row r="175">
          <cell r="D175" t="str">
            <v>S관(3공장) [55] 접착/ 멸균 A형 인라인3호기</v>
          </cell>
          <cell r="E175">
            <v>54000</v>
          </cell>
        </row>
        <row r="176">
          <cell r="D176" t="str">
            <v>S관(3공장) [55] 접착/ 멸균 A형 인라인4호기</v>
          </cell>
          <cell r="E176">
            <v>54000</v>
          </cell>
        </row>
        <row r="177">
          <cell r="D177" t="str">
            <v>S관(3공장) [55] 접착/ 멸균 A형 인라인5호기</v>
          </cell>
          <cell r="E177">
            <v>54000</v>
          </cell>
        </row>
        <row r="178">
          <cell r="D178" t="str">
            <v>S관(3공장) [55] 접착/ 멸균 A형 인라인6호기</v>
          </cell>
          <cell r="E178">
            <v>54000</v>
          </cell>
        </row>
        <row r="179">
          <cell r="D179" t="str">
            <v>S관(3공장) [10] 사출조립 B형 조립중합1호기</v>
          </cell>
          <cell r="E179">
            <v>76800</v>
          </cell>
        </row>
        <row r="180">
          <cell r="D180" t="str">
            <v>S관(3공장) [10] 사출조립 B형 조립중합2호기</v>
          </cell>
          <cell r="E180">
            <v>76800</v>
          </cell>
        </row>
        <row r="181">
          <cell r="D181" t="str">
            <v>S관(3공장) [10] 사출조립 B형 조립중합3호기</v>
          </cell>
          <cell r="E181">
            <v>76800</v>
          </cell>
        </row>
        <row r="182">
          <cell r="D182" t="str">
            <v>S관(3공장) [10] 사출조립 B형 조립중합4호기</v>
          </cell>
          <cell r="E182">
            <v>76800</v>
          </cell>
        </row>
        <row r="183">
          <cell r="D183" t="str">
            <v>S관(3공장) [10] 사출조립 B형 조립중합5호기</v>
          </cell>
          <cell r="E183">
            <v>76800</v>
          </cell>
        </row>
        <row r="184">
          <cell r="D184" t="str">
            <v>S관(3공장) [10] 사출조립 B형 조립중합6호기</v>
          </cell>
          <cell r="E184">
            <v>76800</v>
          </cell>
        </row>
        <row r="185">
          <cell r="D185" t="str">
            <v>S관(3공장) [10] 사출조립 B형 조립중합7호기</v>
          </cell>
          <cell r="E185">
            <v>76800</v>
          </cell>
        </row>
        <row r="186">
          <cell r="D186" t="str">
            <v>S관(3공장) [10] 사출조립 B형 조립중합8호기</v>
          </cell>
          <cell r="E186">
            <v>76800</v>
          </cell>
        </row>
        <row r="187">
          <cell r="D187" t="str">
            <v>S관(3공장) [20] 분리 CAM분리1호기</v>
          </cell>
          <cell r="E187">
            <v>39273</v>
          </cell>
        </row>
        <row r="188">
          <cell r="D188" t="str">
            <v>S관(3공장) [20] 분리 CAM분리2호기</v>
          </cell>
          <cell r="E188">
            <v>39273</v>
          </cell>
        </row>
        <row r="189">
          <cell r="D189" t="str">
            <v>S관(3공장) [20] 분리 CAM분리3호기</v>
          </cell>
          <cell r="E189">
            <v>39273</v>
          </cell>
        </row>
        <row r="190">
          <cell r="D190" t="str">
            <v>S관(3공장) [20] 분리 CAM분리4호기</v>
          </cell>
          <cell r="E190">
            <v>39273</v>
          </cell>
        </row>
        <row r="191">
          <cell r="D191" t="str">
            <v>S관(3공장) [20] 분리 B형 분리수화접착1호기</v>
          </cell>
          <cell r="E191">
            <v>53170</v>
          </cell>
        </row>
        <row r="192">
          <cell r="D192" t="str">
            <v>S관(3공장) [20] 분리 B형 분리수화접착2호기</v>
          </cell>
          <cell r="E192">
            <v>53170</v>
          </cell>
        </row>
        <row r="193">
          <cell r="D193" t="str">
            <v>S관(3공장) [20] 분리 B형 분리수화접착3호기</v>
          </cell>
          <cell r="E193">
            <v>53170</v>
          </cell>
        </row>
        <row r="194">
          <cell r="D194" t="str">
            <v>S관(3공장) [20] 분리 B형 분리수화접착4호기</v>
          </cell>
          <cell r="E194">
            <v>53170</v>
          </cell>
        </row>
        <row r="195">
          <cell r="D195" t="str">
            <v>S관(3공장) [20] 분리 B형 분리수화접착5호기</v>
          </cell>
          <cell r="E195">
            <v>53170</v>
          </cell>
        </row>
        <row r="196">
          <cell r="D196" t="str">
            <v>S관(3공장) [20] 분리 B형 분리수화접착6호기</v>
          </cell>
          <cell r="E196">
            <v>53170</v>
          </cell>
        </row>
        <row r="197">
          <cell r="D197" t="str">
            <v>S관(3공장) [20] 분리 B형 분리수화접착7호기</v>
          </cell>
          <cell r="E197">
            <v>53170</v>
          </cell>
        </row>
        <row r="198">
          <cell r="D198" t="str">
            <v>S관(3공장) [20] 분리 B형 분리수화접착8호기</v>
          </cell>
          <cell r="E198">
            <v>53170</v>
          </cell>
        </row>
        <row r="199">
          <cell r="D199" t="str">
            <v>S관(3공장) [45] 하이드레이션/전면검사 B형 분리수화접착1호기</v>
          </cell>
          <cell r="E199">
            <v>60000</v>
          </cell>
        </row>
        <row r="200">
          <cell r="D200" t="str">
            <v>S관(3공장) [45] 하이드레이션/전면검사 B형 분리수화접착2호기</v>
          </cell>
          <cell r="E200">
            <v>60000</v>
          </cell>
        </row>
        <row r="201">
          <cell r="D201" t="str">
            <v>S관(3공장) [45] 하이드레이션/전면검사 B형 분리수화접착3호기</v>
          </cell>
          <cell r="E201">
            <v>60000</v>
          </cell>
        </row>
        <row r="202">
          <cell r="D202" t="str">
            <v>S관(3공장) [45] 하이드레이션/전면검사 B형 분리수화접착4호기</v>
          </cell>
          <cell r="E202">
            <v>60000</v>
          </cell>
        </row>
        <row r="203">
          <cell r="D203" t="str">
            <v>S관(3공장) [45] 하이드레이션/전면검사 B형 분리수화접착5호기</v>
          </cell>
          <cell r="E203">
            <v>60000</v>
          </cell>
        </row>
        <row r="204">
          <cell r="D204" t="str">
            <v>S관(3공장) [45] 하이드레이션/전면검사 B형 분리수화접착6호기</v>
          </cell>
          <cell r="E204">
            <v>60000</v>
          </cell>
        </row>
        <row r="205">
          <cell r="D205" t="str">
            <v>S관(3공장) [45] 하이드레이션/전면검사 B형 분리수화접착7호기</v>
          </cell>
          <cell r="E205">
            <v>60000</v>
          </cell>
        </row>
        <row r="206">
          <cell r="D206" t="str">
            <v>S관(3공장) [45] 하이드레이션/전면검사 B형 분리수화접착8호기</v>
          </cell>
          <cell r="E206">
            <v>60000</v>
          </cell>
        </row>
        <row r="207">
          <cell r="D207" t="str">
            <v>S관(3공장) [55] 접착/ 멸균 B형 분리수화접착1호기</v>
          </cell>
          <cell r="E207">
            <v>72000</v>
          </cell>
        </row>
        <row r="208">
          <cell r="D208" t="str">
            <v>S관(3공장) [55] 접착/ 멸균 B형 분리수화접착2호기</v>
          </cell>
          <cell r="E208">
            <v>72000</v>
          </cell>
        </row>
        <row r="209">
          <cell r="D209" t="str">
            <v>S관(3공장) [55] 접착/ 멸균 B형 분리수화접착3호기</v>
          </cell>
          <cell r="E209">
            <v>72000</v>
          </cell>
        </row>
        <row r="210">
          <cell r="D210" t="str">
            <v>S관(3공장) [55] 접착/ 멸균 B형 분리수화접착4호기</v>
          </cell>
          <cell r="E210">
            <v>72000</v>
          </cell>
        </row>
        <row r="211">
          <cell r="D211" t="str">
            <v>S관(3공장) [55] 접착/ 멸균 B형 분리수화접착5호기</v>
          </cell>
          <cell r="E211">
            <v>72000</v>
          </cell>
        </row>
        <row r="212">
          <cell r="D212" t="str">
            <v>S관(3공장) [55] 접착/ 멸균 B형 분리수화접착6호기</v>
          </cell>
          <cell r="E212">
            <v>72000</v>
          </cell>
        </row>
        <row r="213">
          <cell r="D213" t="str">
            <v>S관(3공장) [55] 접착/ 멸균 B형 분리수화접착7호기</v>
          </cell>
          <cell r="E213">
            <v>72000</v>
          </cell>
        </row>
        <row r="214">
          <cell r="D214" t="str">
            <v>S관(3공장) [55] 접착/ 멸균 B형 분리수화접착8호기</v>
          </cell>
          <cell r="E214">
            <v>72000</v>
          </cell>
        </row>
        <row r="215">
          <cell r="D215" t="str">
            <v>S관(3공장) [45] 하이드레이션/전면검사 S관 실리콘 자동수화기</v>
          </cell>
          <cell r="E215">
            <v>240000</v>
          </cell>
        </row>
        <row r="216">
          <cell r="D216" t="str">
            <v>S관(3공장) [55] 접착/ 멸균 S관 멸균1호기</v>
          </cell>
          <cell r="E216">
            <v>752000</v>
          </cell>
        </row>
        <row r="217">
          <cell r="D217" t="str">
            <v>S관(3공장) [80] 누수/규격검사 누수/규격검사(3공장)</v>
          </cell>
          <cell r="E217">
            <v>72512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topLeftCell="A161" zoomScale="85" zoomScaleNormal="85" workbookViewId="0">
      <selection activeCell="A204" sqref="A204"/>
    </sheetView>
  </sheetViews>
  <sheetFormatPr defaultRowHeight="16.5" x14ac:dyDescent="0.3"/>
  <cols>
    <col min="1" max="1" width="10.625" bestFit="1" customWidth="1"/>
    <col min="2" max="2" width="26.5" bestFit="1" customWidth="1"/>
    <col min="3" max="6" width="36.5" customWidth="1"/>
    <col min="7" max="7" width="48.125" customWidth="1"/>
    <col min="8" max="14" width="36.5" customWidth="1"/>
  </cols>
  <sheetData>
    <row r="1" spans="1:7" ht="17.25" x14ac:dyDescent="0.3">
      <c r="A1" t="s">
        <v>0</v>
      </c>
      <c r="B1" t="s">
        <v>1</v>
      </c>
      <c r="C1" t="s">
        <v>2</v>
      </c>
      <c r="D1" s="1" t="s">
        <v>153</v>
      </c>
      <c r="G1" t="s">
        <v>154</v>
      </c>
    </row>
    <row r="2" spans="1:7" x14ac:dyDescent="0.3">
      <c r="A2" t="s">
        <v>3</v>
      </c>
      <c r="B2" t="s">
        <v>16</v>
      </c>
      <c r="C2" t="s">
        <v>31</v>
      </c>
      <c r="D2">
        <v>43200</v>
      </c>
      <c r="G2" t="str">
        <f t="shared" ref="G2:G65" si="0">A2&amp;" "&amp;B2&amp;" "&amp;C2</f>
        <v>A관(1공장) [10] 사출조립 조립4호기</v>
      </c>
    </row>
    <row r="3" spans="1:7" x14ac:dyDescent="0.3">
      <c r="A3" t="s">
        <v>3</v>
      </c>
      <c r="B3" t="s">
        <v>16</v>
      </c>
      <c r="C3" t="s">
        <v>32</v>
      </c>
      <c r="D3">
        <v>43200</v>
      </c>
      <c r="G3" t="str">
        <f t="shared" si="0"/>
        <v>A관(1공장) [10] 사출조립 조립7호기</v>
      </c>
    </row>
    <row r="4" spans="1:7" x14ac:dyDescent="0.3">
      <c r="A4" t="s">
        <v>3</v>
      </c>
      <c r="B4" t="s">
        <v>16</v>
      </c>
      <c r="C4" t="s">
        <v>100</v>
      </c>
      <c r="D4">
        <v>43200</v>
      </c>
      <c r="G4" t="str">
        <f t="shared" si="0"/>
        <v>A관(1공장) [10] 사출조립 조립6호기</v>
      </c>
    </row>
    <row r="5" spans="1:7" x14ac:dyDescent="0.3">
      <c r="A5" t="s">
        <v>3</v>
      </c>
      <c r="B5" t="s">
        <v>16</v>
      </c>
      <c r="C5" t="s">
        <v>104</v>
      </c>
      <c r="D5">
        <v>43200</v>
      </c>
      <c r="G5" t="str">
        <f t="shared" si="0"/>
        <v>A관(1공장) [10] 사출조립 조립5호기</v>
      </c>
    </row>
    <row r="6" spans="1:7" x14ac:dyDescent="0.3">
      <c r="A6" t="s">
        <v>3</v>
      </c>
      <c r="B6" t="s">
        <v>16</v>
      </c>
      <c r="C6" t="s">
        <v>108</v>
      </c>
      <c r="D6">
        <v>86400</v>
      </c>
      <c r="G6" t="str">
        <f t="shared" si="0"/>
        <v>A관(1공장) [10] 사출조립 조립31호기</v>
      </c>
    </row>
    <row r="7" spans="1:7" x14ac:dyDescent="0.3">
      <c r="A7" t="s">
        <v>3</v>
      </c>
      <c r="B7" t="s">
        <v>16</v>
      </c>
      <c r="C7" t="s">
        <v>115</v>
      </c>
      <c r="D7">
        <v>43200</v>
      </c>
      <c r="G7" t="str">
        <f t="shared" si="0"/>
        <v>A관(1공장) [10] 사출조립 조립8호기</v>
      </c>
    </row>
    <row r="8" spans="1:7" x14ac:dyDescent="0.3">
      <c r="A8" t="s">
        <v>3</v>
      </c>
      <c r="B8" t="s">
        <v>16</v>
      </c>
      <c r="C8" t="s">
        <v>117</v>
      </c>
      <c r="D8">
        <v>43200</v>
      </c>
      <c r="G8" t="str">
        <f t="shared" si="0"/>
        <v>A관(1공장) [10] 사출조립 조립1호기</v>
      </c>
    </row>
    <row r="9" spans="1:7" x14ac:dyDescent="0.3">
      <c r="A9" t="s">
        <v>3</v>
      </c>
      <c r="B9" t="s">
        <v>16</v>
      </c>
      <c r="C9" t="s">
        <v>118</v>
      </c>
      <c r="D9">
        <v>43200</v>
      </c>
      <c r="G9" t="str">
        <f t="shared" si="0"/>
        <v>A관(1공장) [10] 사출조립 조립2호기</v>
      </c>
    </row>
    <row r="10" spans="1:7" x14ac:dyDescent="0.3">
      <c r="A10" t="s">
        <v>3</v>
      </c>
      <c r="B10" t="s">
        <v>16</v>
      </c>
      <c r="C10" t="s">
        <v>135</v>
      </c>
      <c r="D10">
        <v>43200</v>
      </c>
      <c r="G10" t="str">
        <f t="shared" si="0"/>
        <v>A관(1공장) [10] 사출조립 조립3호기</v>
      </c>
    </row>
    <row r="11" spans="1:7" x14ac:dyDescent="0.3">
      <c r="A11" t="s">
        <v>6</v>
      </c>
      <c r="B11" t="s">
        <v>16</v>
      </c>
      <c r="C11" t="s">
        <v>17</v>
      </c>
      <c r="D11">
        <v>43200</v>
      </c>
      <c r="G11" t="str">
        <f t="shared" si="0"/>
        <v>C관(2공장) [10] 사출조립 조립48호기</v>
      </c>
    </row>
    <row r="12" spans="1:7" x14ac:dyDescent="0.3">
      <c r="A12" t="s">
        <v>6</v>
      </c>
      <c r="B12" t="s">
        <v>16</v>
      </c>
      <c r="C12" t="s">
        <v>35</v>
      </c>
      <c r="D12">
        <v>43200</v>
      </c>
      <c r="G12" t="str">
        <f t="shared" si="0"/>
        <v>C관(2공장) [10] 사출조립 조립16호기</v>
      </c>
    </row>
    <row r="13" spans="1:7" x14ac:dyDescent="0.3">
      <c r="A13" t="s">
        <v>6</v>
      </c>
      <c r="B13" t="s">
        <v>16</v>
      </c>
      <c r="C13" t="s">
        <v>40</v>
      </c>
      <c r="D13">
        <v>43200</v>
      </c>
      <c r="G13" t="str">
        <f t="shared" si="0"/>
        <v>C관(2공장) [10] 사출조립 조립52호기</v>
      </c>
    </row>
    <row r="14" spans="1:7" x14ac:dyDescent="0.3">
      <c r="A14" t="s">
        <v>6</v>
      </c>
      <c r="B14" t="s">
        <v>16</v>
      </c>
      <c r="C14" t="s">
        <v>42</v>
      </c>
      <c r="D14">
        <v>43200</v>
      </c>
      <c r="G14" t="str">
        <f t="shared" si="0"/>
        <v>C관(2공장) [10] 사출조립 조립47호기</v>
      </c>
    </row>
    <row r="15" spans="1:7" x14ac:dyDescent="0.3">
      <c r="A15" t="s">
        <v>6</v>
      </c>
      <c r="B15" t="s">
        <v>16</v>
      </c>
      <c r="C15" t="s">
        <v>56</v>
      </c>
      <c r="D15">
        <v>43200</v>
      </c>
      <c r="G15" t="str">
        <f t="shared" si="0"/>
        <v>C관(2공장) [10] 사출조립 조립50호기</v>
      </c>
    </row>
    <row r="16" spans="1:7" x14ac:dyDescent="0.3">
      <c r="A16" t="s">
        <v>6</v>
      </c>
      <c r="B16" t="s">
        <v>16</v>
      </c>
      <c r="C16" t="s">
        <v>67</v>
      </c>
      <c r="D16">
        <v>43200</v>
      </c>
      <c r="G16" t="str">
        <f t="shared" si="0"/>
        <v>C관(2공장) [10] 사출조립 조립59호기</v>
      </c>
    </row>
    <row r="17" spans="1:7" x14ac:dyDescent="0.3">
      <c r="A17" t="s">
        <v>6</v>
      </c>
      <c r="B17" t="s">
        <v>16</v>
      </c>
      <c r="C17" t="s">
        <v>84</v>
      </c>
      <c r="D17">
        <v>43200</v>
      </c>
      <c r="G17" t="str">
        <f t="shared" si="0"/>
        <v>C관(2공장) [10] 사출조립 조립27호기</v>
      </c>
    </row>
    <row r="18" spans="1:7" x14ac:dyDescent="0.3">
      <c r="A18" t="s">
        <v>6</v>
      </c>
      <c r="B18" t="s">
        <v>16</v>
      </c>
      <c r="C18" t="s">
        <v>86</v>
      </c>
      <c r="D18">
        <v>43200</v>
      </c>
      <c r="G18" t="str">
        <f t="shared" si="0"/>
        <v>C관(2공장) [10] 사출조립 조립40호기</v>
      </c>
    </row>
    <row r="19" spans="1:7" x14ac:dyDescent="0.3">
      <c r="A19" t="s">
        <v>6</v>
      </c>
      <c r="B19" t="s">
        <v>16</v>
      </c>
      <c r="C19" t="s">
        <v>102</v>
      </c>
      <c r="D19">
        <v>43200</v>
      </c>
      <c r="G19" t="str">
        <f t="shared" si="0"/>
        <v>C관(2공장) [10] 사출조립 조립25호기</v>
      </c>
    </row>
    <row r="20" spans="1:7" x14ac:dyDescent="0.3">
      <c r="A20" t="s">
        <v>6</v>
      </c>
      <c r="B20" t="s">
        <v>16</v>
      </c>
      <c r="C20" t="s">
        <v>103</v>
      </c>
      <c r="D20">
        <v>43200</v>
      </c>
      <c r="G20" t="str">
        <f t="shared" si="0"/>
        <v>C관(2공장) [10] 사출조립 조립10호기</v>
      </c>
    </row>
    <row r="21" spans="1:7" x14ac:dyDescent="0.3">
      <c r="A21" t="s">
        <v>6</v>
      </c>
      <c r="B21" t="s">
        <v>16</v>
      </c>
      <c r="C21" t="s">
        <v>105</v>
      </c>
      <c r="D21">
        <v>43200</v>
      </c>
      <c r="G21" t="str">
        <f t="shared" si="0"/>
        <v>C관(2공장) [10] 사출조립 조립54호기</v>
      </c>
    </row>
    <row r="22" spans="1:7" x14ac:dyDescent="0.3">
      <c r="A22" t="s">
        <v>6</v>
      </c>
      <c r="B22" t="s">
        <v>16</v>
      </c>
      <c r="C22" t="s">
        <v>109</v>
      </c>
      <c r="D22">
        <v>43200</v>
      </c>
      <c r="G22" t="str">
        <f t="shared" si="0"/>
        <v>C관(2공장) [10] 사출조립 조립24호기</v>
      </c>
    </row>
    <row r="23" spans="1:7" x14ac:dyDescent="0.3">
      <c r="A23" t="s">
        <v>6</v>
      </c>
      <c r="B23" t="s">
        <v>16</v>
      </c>
      <c r="C23" t="s">
        <v>110</v>
      </c>
      <c r="D23">
        <v>43200</v>
      </c>
      <c r="G23" t="str">
        <f t="shared" si="0"/>
        <v>C관(2공장) [10] 사출조립 조립11호기</v>
      </c>
    </row>
    <row r="24" spans="1:7" x14ac:dyDescent="0.3">
      <c r="A24" t="s">
        <v>6</v>
      </c>
      <c r="B24" t="s">
        <v>16</v>
      </c>
      <c r="C24" t="s">
        <v>113</v>
      </c>
      <c r="D24">
        <v>43200</v>
      </c>
      <c r="G24" t="str">
        <f t="shared" si="0"/>
        <v>C관(2공장) [10] 사출조립 조립45호기</v>
      </c>
    </row>
    <row r="25" spans="1:7" x14ac:dyDescent="0.3">
      <c r="A25" t="s">
        <v>6</v>
      </c>
      <c r="B25" t="s">
        <v>16</v>
      </c>
      <c r="C25" t="s">
        <v>119</v>
      </c>
      <c r="D25">
        <v>43200</v>
      </c>
      <c r="G25" t="str">
        <f t="shared" si="0"/>
        <v>C관(2공장) [10] 사출조립 조립55호기</v>
      </c>
    </row>
    <row r="26" spans="1:7" x14ac:dyDescent="0.3">
      <c r="A26" t="s">
        <v>6</v>
      </c>
      <c r="B26" t="s">
        <v>16</v>
      </c>
      <c r="C26" t="s">
        <v>120</v>
      </c>
      <c r="D26">
        <v>43200</v>
      </c>
      <c r="G26" t="str">
        <f t="shared" si="0"/>
        <v>C관(2공장) [10] 사출조립 조립58호기</v>
      </c>
    </row>
    <row r="27" spans="1:7" x14ac:dyDescent="0.3">
      <c r="A27" t="s">
        <v>6</v>
      </c>
      <c r="B27" t="s">
        <v>16</v>
      </c>
      <c r="C27" t="s">
        <v>121</v>
      </c>
      <c r="D27">
        <v>43200</v>
      </c>
      <c r="G27" t="str">
        <f t="shared" si="0"/>
        <v>C관(2공장) [10] 사출조립 조립56호기</v>
      </c>
    </row>
    <row r="28" spans="1:7" x14ac:dyDescent="0.3">
      <c r="A28" t="s">
        <v>6</v>
      </c>
      <c r="B28" t="s">
        <v>16</v>
      </c>
      <c r="C28" t="s">
        <v>122</v>
      </c>
      <c r="D28">
        <v>43200</v>
      </c>
      <c r="G28" t="str">
        <f t="shared" si="0"/>
        <v>C관(2공장) [10] 사출조립 조립42호기</v>
      </c>
    </row>
    <row r="29" spans="1:7" x14ac:dyDescent="0.3">
      <c r="A29" t="s">
        <v>6</v>
      </c>
      <c r="B29" t="s">
        <v>16</v>
      </c>
      <c r="C29" t="s">
        <v>125</v>
      </c>
      <c r="D29">
        <v>43200</v>
      </c>
      <c r="G29" t="str">
        <f t="shared" si="0"/>
        <v>C관(2공장) [10] 사출조립 조립41호기</v>
      </c>
    </row>
    <row r="30" spans="1:7" x14ac:dyDescent="0.3">
      <c r="A30" t="s">
        <v>6</v>
      </c>
      <c r="B30" t="s">
        <v>16</v>
      </c>
      <c r="C30" t="s">
        <v>128</v>
      </c>
      <c r="D30">
        <v>43200</v>
      </c>
      <c r="G30" t="str">
        <f t="shared" si="0"/>
        <v>C관(2공장) [10] 사출조립 조립22호기</v>
      </c>
    </row>
    <row r="31" spans="1:7" x14ac:dyDescent="0.3">
      <c r="A31" t="s">
        <v>6</v>
      </c>
      <c r="B31" t="s">
        <v>16</v>
      </c>
      <c r="C31" t="s">
        <v>139</v>
      </c>
      <c r="D31">
        <v>43200</v>
      </c>
      <c r="G31" t="str">
        <f t="shared" si="0"/>
        <v>C관(2공장) [10] 사출조립 조립49호기</v>
      </c>
    </row>
    <row r="32" spans="1:7" x14ac:dyDescent="0.3">
      <c r="A32" t="s">
        <v>6</v>
      </c>
      <c r="B32" t="s">
        <v>16</v>
      </c>
      <c r="C32" t="s">
        <v>141</v>
      </c>
      <c r="D32">
        <v>43200</v>
      </c>
      <c r="G32" t="str">
        <f t="shared" si="0"/>
        <v>C관(2공장) [10] 사출조립 조립51호기</v>
      </c>
    </row>
    <row r="33" spans="1:7" x14ac:dyDescent="0.3">
      <c r="A33" t="s">
        <v>6</v>
      </c>
      <c r="B33" t="s">
        <v>16</v>
      </c>
      <c r="C33" t="s">
        <v>142</v>
      </c>
      <c r="D33">
        <v>43200</v>
      </c>
      <c r="G33" t="str">
        <f t="shared" si="0"/>
        <v>C관(2공장) [10] 사출조립 조립44호기</v>
      </c>
    </row>
    <row r="34" spans="1:7" x14ac:dyDescent="0.3">
      <c r="A34" t="s">
        <v>6</v>
      </c>
      <c r="B34" t="s">
        <v>16</v>
      </c>
      <c r="C34" t="s">
        <v>143</v>
      </c>
      <c r="D34">
        <v>43200</v>
      </c>
      <c r="G34" t="str">
        <f t="shared" si="0"/>
        <v>C관(2공장) [10] 사출조립 조립46호기</v>
      </c>
    </row>
    <row r="35" spans="1:7" x14ac:dyDescent="0.3">
      <c r="A35" t="s">
        <v>6</v>
      </c>
      <c r="B35" t="s">
        <v>16</v>
      </c>
      <c r="C35" t="s">
        <v>144</v>
      </c>
      <c r="D35">
        <v>43200</v>
      </c>
      <c r="G35" t="str">
        <f t="shared" si="0"/>
        <v>C관(2공장) [10] 사출조립 조립26호기</v>
      </c>
    </row>
    <row r="36" spans="1:7" x14ac:dyDescent="0.3">
      <c r="A36" t="s">
        <v>6</v>
      </c>
      <c r="B36" t="s">
        <v>16</v>
      </c>
      <c r="C36" t="s">
        <v>145</v>
      </c>
      <c r="D36">
        <v>43200</v>
      </c>
      <c r="G36" t="str">
        <f t="shared" si="0"/>
        <v>C관(2공장) [10] 사출조립 조립57호기</v>
      </c>
    </row>
    <row r="37" spans="1:7" x14ac:dyDescent="0.3">
      <c r="A37" t="s">
        <v>6</v>
      </c>
      <c r="B37" t="s">
        <v>16</v>
      </c>
      <c r="C37" t="s">
        <v>146</v>
      </c>
      <c r="D37">
        <v>43200</v>
      </c>
      <c r="G37" t="str">
        <f t="shared" si="0"/>
        <v>C관(2공장) [10] 사출조립 조립53호기</v>
      </c>
    </row>
    <row r="38" spans="1:7" x14ac:dyDescent="0.3">
      <c r="A38" t="s">
        <v>6</v>
      </c>
      <c r="B38" t="s">
        <v>16</v>
      </c>
      <c r="C38" t="s">
        <v>149</v>
      </c>
      <c r="D38">
        <v>43200</v>
      </c>
      <c r="G38" t="str">
        <f t="shared" si="0"/>
        <v>C관(2공장) [10] 사출조립 조립17호기</v>
      </c>
    </row>
    <row r="39" spans="1:7" x14ac:dyDescent="0.3">
      <c r="A39" t="s">
        <v>26</v>
      </c>
      <c r="B39" t="s">
        <v>16</v>
      </c>
      <c r="C39" t="s">
        <v>112</v>
      </c>
      <c r="D39">
        <v>76800</v>
      </c>
      <c r="G39" t="str">
        <f t="shared" si="0"/>
        <v>S관(3공장) [10] 사출조립 B형 조립중합3호기</v>
      </c>
    </row>
    <row r="40" spans="1:7" x14ac:dyDescent="0.3">
      <c r="A40" t="s">
        <v>26</v>
      </c>
      <c r="B40" t="s">
        <v>16</v>
      </c>
      <c r="C40" t="s">
        <v>71</v>
      </c>
      <c r="D40">
        <v>43200</v>
      </c>
      <c r="G40" t="str">
        <f t="shared" si="0"/>
        <v>S관(3공장) [10] 사출조립 A형 인라인5호기</v>
      </c>
    </row>
    <row r="41" spans="1:7" x14ac:dyDescent="0.3">
      <c r="A41" t="s">
        <v>26</v>
      </c>
      <c r="B41" t="s">
        <v>16</v>
      </c>
      <c r="C41" t="s">
        <v>58</v>
      </c>
      <c r="D41">
        <v>43200</v>
      </c>
      <c r="G41" t="str">
        <f t="shared" si="0"/>
        <v>S관(3공장) [10] 사출조립 A형 인라인1호기</v>
      </c>
    </row>
    <row r="42" spans="1:7" x14ac:dyDescent="0.3">
      <c r="A42" t="s">
        <v>26</v>
      </c>
      <c r="B42" t="s">
        <v>16</v>
      </c>
      <c r="C42" t="s">
        <v>59</v>
      </c>
      <c r="D42">
        <v>43200</v>
      </c>
      <c r="G42" t="str">
        <f t="shared" si="0"/>
        <v>S관(3공장) [10] 사출조립 A형 인라인2호기</v>
      </c>
    </row>
    <row r="43" spans="1:7" x14ac:dyDescent="0.3">
      <c r="A43" t="s">
        <v>26</v>
      </c>
      <c r="B43" t="s">
        <v>16</v>
      </c>
      <c r="C43" t="s">
        <v>44</v>
      </c>
      <c r="D43">
        <v>43200</v>
      </c>
      <c r="G43" t="str">
        <f t="shared" si="0"/>
        <v>S관(3공장) [10] 사출조립 A형 인라인3호기</v>
      </c>
    </row>
    <row r="44" spans="1:7" x14ac:dyDescent="0.3">
      <c r="A44" t="s">
        <v>26</v>
      </c>
      <c r="B44" t="s">
        <v>16</v>
      </c>
      <c r="C44" t="s">
        <v>61</v>
      </c>
      <c r="D44">
        <v>43200</v>
      </c>
      <c r="G44" t="str">
        <f t="shared" si="0"/>
        <v>S관(3공장) [10] 사출조립 A형 인라인6호기</v>
      </c>
    </row>
    <row r="45" spans="1:7" x14ac:dyDescent="0.3">
      <c r="A45" t="s">
        <v>26</v>
      </c>
      <c r="B45" t="s">
        <v>16</v>
      </c>
      <c r="C45" t="s">
        <v>151</v>
      </c>
      <c r="D45">
        <v>76800</v>
      </c>
      <c r="G45" t="str">
        <f t="shared" si="0"/>
        <v>S관(3공장) [10] 사출조립 B형 조립중합5호기</v>
      </c>
    </row>
    <row r="46" spans="1:7" x14ac:dyDescent="0.3">
      <c r="A46" t="s">
        <v>3</v>
      </c>
      <c r="B46" t="s">
        <v>4</v>
      </c>
      <c r="C46" t="s">
        <v>5</v>
      </c>
      <c r="D46">
        <v>17280</v>
      </c>
      <c r="G46" t="str">
        <f t="shared" si="0"/>
        <v>A관(1공장) [20] 분리 분리3호기</v>
      </c>
    </row>
    <row r="47" spans="1:7" x14ac:dyDescent="0.3">
      <c r="A47" t="s">
        <v>3</v>
      </c>
      <c r="B47" t="s">
        <v>4</v>
      </c>
      <c r="C47" t="s">
        <v>18</v>
      </c>
      <c r="D47">
        <v>17280</v>
      </c>
      <c r="G47" t="str">
        <f t="shared" si="0"/>
        <v>A관(1공장) [20] 분리 분리4호기</v>
      </c>
    </row>
    <row r="48" spans="1:7" x14ac:dyDescent="0.3">
      <c r="A48" t="s">
        <v>3</v>
      </c>
      <c r="B48" t="s">
        <v>4</v>
      </c>
      <c r="C48" t="s">
        <v>97</v>
      </c>
      <c r="D48">
        <v>17280</v>
      </c>
      <c r="G48" t="str">
        <f t="shared" si="0"/>
        <v>A관(1공장) [20] 분리 분리5호기</v>
      </c>
    </row>
    <row r="49" spans="1:7" x14ac:dyDescent="0.3">
      <c r="A49" t="s">
        <v>3</v>
      </c>
      <c r="B49" t="s">
        <v>4</v>
      </c>
      <c r="C49" t="s">
        <v>101</v>
      </c>
      <c r="D49">
        <v>54000</v>
      </c>
      <c r="G49" t="str">
        <f t="shared" si="0"/>
        <v>A관(1공장) [20] 분리 분리14호기</v>
      </c>
    </row>
    <row r="50" spans="1:7" x14ac:dyDescent="0.3">
      <c r="A50" t="s">
        <v>3</v>
      </c>
      <c r="B50" t="s">
        <v>4</v>
      </c>
      <c r="C50" t="s">
        <v>111</v>
      </c>
      <c r="D50">
        <v>62837</v>
      </c>
      <c r="G50" t="str">
        <f t="shared" si="0"/>
        <v>A관(1공장) [20] 분리 분리42호기(초음파)</v>
      </c>
    </row>
    <row r="51" spans="1:7" x14ac:dyDescent="0.3">
      <c r="A51" t="s">
        <v>3</v>
      </c>
      <c r="B51" t="s">
        <v>4</v>
      </c>
      <c r="C51" t="s">
        <v>123</v>
      </c>
      <c r="D51">
        <v>17280</v>
      </c>
      <c r="G51" t="str">
        <f t="shared" si="0"/>
        <v>A관(1공장) [20] 분리 분리10호기</v>
      </c>
    </row>
    <row r="52" spans="1:7" x14ac:dyDescent="0.3">
      <c r="A52" t="s">
        <v>3</v>
      </c>
      <c r="B52" t="s">
        <v>4</v>
      </c>
      <c r="C52" t="s">
        <v>129</v>
      </c>
      <c r="D52">
        <v>17280</v>
      </c>
      <c r="G52" t="str">
        <f t="shared" si="0"/>
        <v>A관(1공장) [20] 분리 분리11호기</v>
      </c>
    </row>
    <row r="53" spans="1:7" x14ac:dyDescent="0.3">
      <c r="A53" t="s">
        <v>6</v>
      </c>
      <c r="B53" t="s">
        <v>4</v>
      </c>
      <c r="C53" t="s">
        <v>23</v>
      </c>
      <c r="D53">
        <v>54000</v>
      </c>
      <c r="G53" t="str">
        <f t="shared" si="0"/>
        <v>C관(2공장) [20] 분리 분리30호기</v>
      </c>
    </row>
    <row r="54" spans="1:7" x14ac:dyDescent="0.3">
      <c r="A54" t="s">
        <v>6</v>
      </c>
      <c r="B54" t="s">
        <v>4</v>
      </c>
      <c r="C54" t="s">
        <v>29</v>
      </c>
      <c r="D54">
        <v>54000</v>
      </c>
      <c r="G54" t="str">
        <f t="shared" si="0"/>
        <v>C관(2공장) [20] 분리 분리28호기</v>
      </c>
    </row>
    <row r="55" spans="1:7" x14ac:dyDescent="0.3">
      <c r="A55" t="s">
        <v>6</v>
      </c>
      <c r="B55" t="s">
        <v>4</v>
      </c>
      <c r="C55" t="s">
        <v>34</v>
      </c>
      <c r="D55">
        <v>61715</v>
      </c>
      <c r="G55" t="str">
        <f t="shared" si="0"/>
        <v>C관(2공장) [20] 분리 분리22호기</v>
      </c>
    </row>
    <row r="56" spans="1:7" x14ac:dyDescent="0.3">
      <c r="A56" t="s">
        <v>6</v>
      </c>
      <c r="B56" t="s">
        <v>4</v>
      </c>
      <c r="C56" t="s">
        <v>48</v>
      </c>
      <c r="D56">
        <v>54000</v>
      </c>
      <c r="G56" t="str">
        <f t="shared" si="0"/>
        <v>C관(2공장) [20] 분리 분리33호기</v>
      </c>
    </row>
    <row r="57" spans="1:7" x14ac:dyDescent="0.3">
      <c r="A57" t="s">
        <v>6</v>
      </c>
      <c r="B57" t="s">
        <v>4</v>
      </c>
      <c r="C57" t="s">
        <v>51</v>
      </c>
      <c r="D57">
        <v>54000</v>
      </c>
      <c r="G57" t="str">
        <f t="shared" si="0"/>
        <v>C관(2공장) [20] 분리 분리43호기</v>
      </c>
    </row>
    <row r="58" spans="1:7" x14ac:dyDescent="0.3">
      <c r="A58" t="s">
        <v>6</v>
      </c>
      <c r="B58" t="s">
        <v>4</v>
      </c>
      <c r="C58" t="s">
        <v>54</v>
      </c>
      <c r="D58">
        <v>54000</v>
      </c>
      <c r="G58" t="str">
        <f t="shared" si="0"/>
        <v>C관(2공장) [20] 분리 분리31호기</v>
      </c>
    </row>
    <row r="59" spans="1:7" x14ac:dyDescent="0.3">
      <c r="A59" t="s">
        <v>6</v>
      </c>
      <c r="B59" t="s">
        <v>4</v>
      </c>
      <c r="C59" t="s">
        <v>55</v>
      </c>
      <c r="D59">
        <v>61715</v>
      </c>
      <c r="G59" t="str">
        <f t="shared" si="0"/>
        <v>C관(2공장) [20] 분리 분리20호기</v>
      </c>
    </row>
    <row r="60" spans="1:7" x14ac:dyDescent="0.3">
      <c r="A60" t="s">
        <v>6</v>
      </c>
      <c r="B60" t="s">
        <v>4</v>
      </c>
      <c r="C60" t="s">
        <v>74</v>
      </c>
      <c r="D60">
        <v>54000</v>
      </c>
      <c r="G60" t="str">
        <f t="shared" si="0"/>
        <v>C관(2공장) [20] 분리 분리36호기</v>
      </c>
    </row>
    <row r="61" spans="1:7" x14ac:dyDescent="0.3">
      <c r="A61" t="s">
        <v>6</v>
      </c>
      <c r="B61" t="s">
        <v>4</v>
      </c>
      <c r="C61" t="s">
        <v>79</v>
      </c>
      <c r="D61">
        <v>61715</v>
      </c>
      <c r="G61" t="str">
        <f t="shared" si="0"/>
        <v>C관(2공장) [20] 분리 분리25호기</v>
      </c>
    </row>
    <row r="62" spans="1:7" x14ac:dyDescent="0.3">
      <c r="A62" t="s">
        <v>6</v>
      </c>
      <c r="B62" t="s">
        <v>4</v>
      </c>
      <c r="C62" t="s">
        <v>82</v>
      </c>
      <c r="D62">
        <v>54000</v>
      </c>
      <c r="G62" t="str">
        <f t="shared" si="0"/>
        <v>C관(2공장) [20] 분리 분리37호기</v>
      </c>
    </row>
    <row r="63" spans="1:7" x14ac:dyDescent="0.3">
      <c r="A63" t="s">
        <v>6</v>
      </c>
      <c r="B63" t="s">
        <v>4</v>
      </c>
      <c r="C63" t="s">
        <v>87</v>
      </c>
      <c r="D63">
        <v>61715</v>
      </c>
      <c r="G63" t="str">
        <f t="shared" si="0"/>
        <v>C관(2공장) [20] 분리 분리13호기</v>
      </c>
    </row>
    <row r="64" spans="1:7" x14ac:dyDescent="0.3">
      <c r="A64" t="s">
        <v>6</v>
      </c>
      <c r="B64" t="s">
        <v>4</v>
      </c>
      <c r="C64" t="s">
        <v>90</v>
      </c>
      <c r="D64">
        <v>54000</v>
      </c>
      <c r="G64" t="str">
        <f t="shared" si="0"/>
        <v>C관(2공장) [20] 분리 분리32호기</v>
      </c>
    </row>
    <row r="65" spans="1:7" x14ac:dyDescent="0.3">
      <c r="A65" t="s">
        <v>6</v>
      </c>
      <c r="B65" t="s">
        <v>4</v>
      </c>
      <c r="C65" t="s">
        <v>91</v>
      </c>
      <c r="D65">
        <v>54000</v>
      </c>
      <c r="G65" t="str">
        <f t="shared" si="0"/>
        <v>C관(2공장) [20] 분리 분리34호기</v>
      </c>
    </row>
    <row r="66" spans="1:7" x14ac:dyDescent="0.3">
      <c r="A66" t="s">
        <v>6</v>
      </c>
      <c r="B66" t="s">
        <v>4</v>
      </c>
      <c r="C66" t="s">
        <v>93</v>
      </c>
      <c r="D66">
        <v>61715</v>
      </c>
      <c r="G66" t="str">
        <f t="shared" ref="G66:G129" si="1">A66&amp;" "&amp;B66&amp;" "&amp;C66</f>
        <v>C관(2공장) [20] 분리 분리16호기</v>
      </c>
    </row>
    <row r="67" spans="1:7" x14ac:dyDescent="0.3">
      <c r="A67" t="s">
        <v>6</v>
      </c>
      <c r="B67" t="s">
        <v>4</v>
      </c>
      <c r="C67" t="s">
        <v>94</v>
      </c>
      <c r="D67">
        <v>54000</v>
      </c>
      <c r="G67" t="str">
        <f t="shared" si="1"/>
        <v>C관(2공장) [20] 분리 분리27호기</v>
      </c>
    </row>
    <row r="68" spans="1:7" x14ac:dyDescent="0.3">
      <c r="A68" t="s">
        <v>6</v>
      </c>
      <c r="B68" t="s">
        <v>4</v>
      </c>
      <c r="C68" t="s">
        <v>95</v>
      </c>
      <c r="D68">
        <v>54000</v>
      </c>
      <c r="G68" t="str">
        <f t="shared" si="1"/>
        <v>C관(2공장) [20] 분리 분리35호기</v>
      </c>
    </row>
    <row r="69" spans="1:7" x14ac:dyDescent="0.3">
      <c r="A69" t="s">
        <v>6</v>
      </c>
      <c r="B69" t="s">
        <v>4</v>
      </c>
      <c r="C69" t="s">
        <v>96</v>
      </c>
      <c r="D69">
        <v>61715</v>
      </c>
      <c r="G69" t="str">
        <f t="shared" si="1"/>
        <v>C관(2공장) [20] 분리 분리23호기</v>
      </c>
    </row>
    <row r="70" spans="1:7" x14ac:dyDescent="0.3">
      <c r="A70" t="s">
        <v>6</v>
      </c>
      <c r="B70" t="s">
        <v>4</v>
      </c>
      <c r="C70" t="s">
        <v>99</v>
      </c>
      <c r="D70">
        <v>61715</v>
      </c>
      <c r="G70" t="str">
        <f t="shared" si="1"/>
        <v>C관(2공장) [20] 분리 분리19호기</v>
      </c>
    </row>
    <row r="71" spans="1:7" x14ac:dyDescent="0.3">
      <c r="A71" t="s">
        <v>6</v>
      </c>
      <c r="B71" t="s">
        <v>4</v>
      </c>
      <c r="C71" t="s">
        <v>106</v>
      </c>
      <c r="D71">
        <v>61715</v>
      </c>
      <c r="G71" t="str">
        <f t="shared" si="1"/>
        <v>C관(2공장) [20] 분리 분리24호기</v>
      </c>
    </row>
    <row r="72" spans="1:7" x14ac:dyDescent="0.3">
      <c r="A72" t="s">
        <v>6</v>
      </c>
      <c r="B72" t="s">
        <v>4</v>
      </c>
      <c r="C72" t="s">
        <v>107</v>
      </c>
      <c r="D72">
        <v>54000</v>
      </c>
      <c r="G72" t="str">
        <f t="shared" si="1"/>
        <v>C관(2공장) [20] 분리 분리29호기</v>
      </c>
    </row>
    <row r="73" spans="1:7" x14ac:dyDescent="0.3">
      <c r="A73" t="s">
        <v>6</v>
      </c>
      <c r="B73" t="s">
        <v>4</v>
      </c>
      <c r="C73" t="s">
        <v>116</v>
      </c>
      <c r="D73">
        <v>54000</v>
      </c>
      <c r="G73" t="str">
        <f t="shared" si="1"/>
        <v>C관(2공장) [20] 분리 분리26호기</v>
      </c>
    </row>
    <row r="74" spans="1:7" x14ac:dyDescent="0.3">
      <c r="A74" t="s">
        <v>26</v>
      </c>
      <c r="B74" t="s">
        <v>4</v>
      </c>
      <c r="C74" t="s">
        <v>68</v>
      </c>
      <c r="D74">
        <v>39273</v>
      </c>
      <c r="G74" t="str">
        <f t="shared" si="1"/>
        <v>S관(3공장) [20] 분리 CAM분리3호기</v>
      </c>
    </row>
    <row r="75" spans="1:7" x14ac:dyDescent="0.3">
      <c r="A75" t="s">
        <v>26</v>
      </c>
      <c r="B75" t="s">
        <v>4</v>
      </c>
      <c r="C75" t="s">
        <v>69</v>
      </c>
      <c r="D75">
        <v>39273</v>
      </c>
      <c r="G75" t="str">
        <f t="shared" si="1"/>
        <v>S관(3공장) [20] 분리 CAM분리4호기</v>
      </c>
    </row>
    <row r="76" spans="1:7" x14ac:dyDescent="0.3">
      <c r="A76" t="s">
        <v>26</v>
      </c>
      <c r="B76" t="s">
        <v>4</v>
      </c>
      <c r="C76" t="s">
        <v>52</v>
      </c>
      <c r="D76">
        <v>53170</v>
      </c>
      <c r="G76" t="str">
        <f t="shared" si="1"/>
        <v>S관(3공장) [20] 분리 B형 분리수화접착2호기</v>
      </c>
    </row>
    <row r="77" spans="1:7" x14ac:dyDescent="0.3">
      <c r="A77" t="s">
        <v>26</v>
      </c>
      <c r="B77" t="s">
        <v>4</v>
      </c>
      <c r="C77" t="s">
        <v>130</v>
      </c>
      <c r="D77">
        <v>53170</v>
      </c>
      <c r="G77" t="str">
        <f t="shared" si="1"/>
        <v>S관(3공장) [20] 분리 B형 분리수화접착6호기</v>
      </c>
    </row>
    <row r="78" spans="1:7" x14ac:dyDescent="0.3">
      <c r="A78" t="s">
        <v>26</v>
      </c>
      <c r="B78" t="s">
        <v>4</v>
      </c>
      <c r="C78" t="s">
        <v>131</v>
      </c>
      <c r="D78">
        <v>53170</v>
      </c>
      <c r="G78" t="str">
        <f t="shared" si="1"/>
        <v>S관(3공장) [20] 분리 B형 분리수화접착7호기</v>
      </c>
    </row>
    <row r="79" spans="1:7" x14ac:dyDescent="0.3">
      <c r="A79" t="s">
        <v>26</v>
      </c>
      <c r="B79" t="s">
        <v>4</v>
      </c>
      <c r="C79" t="s">
        <v>132</v>
      </c>
      <c r="D79">
        <v>39273</v>
      </c>
      <c r="G79" t="str">
        <f t="shared" si="1"/>
        <v>S관(3공장) [20] 분리 CAM분리2호기</v>
      </c>
    </row>
    <row r="80" spans="1:7" x14ac:dyDescent="0.3">
      <c r="A80" t="s">
        <v>26</v>
      </c>
      <c r="B80" t="s">
        <v>4</v>
      </c>
      <c r="C80" t="s">
        <v>137</v>
      </c>
      <c r="D80">
        <v>39273</v>
      </c>
      <c r="G80" t="str">
        <f t="shared" si="1"/>
        <v>S관(3공장) [20] 분리 CAM분리1호기</v>
      </c>
    </row>
    <row r="81" spans="1:7" x14ac:dyDescent="0.3">
      <c r="A81" t="s">
        <v>26</v>
      </c>
      <c r="B81" t="s">
        <v>4</v>
      </c>
      <c r="C81" t="s">
        <v>75</v>
      </c>
      <c r="D81">
        <v>53170</v>
      </c>
      <c r="G81" t="str">
        <f t="shared" si="1"/>
        <v>S관(3공장) [20] 분리 B형 분리수화접착5호기</v>
      </c>
    </row>
    <row r="82" spans="1:7" x14ac:dyDescent="0.3">
      <c r="A82" t="s">
        <v>26</v>
      </c>
      <c r="B82" t="s">
        <v>4</v>
      </c>
      <c r="C82" t="s">
        <v>57</v>
      </c>
      <c r="D82">
        <v>53170</v>
      </c>
      <c r="G82" t="str">
        <f t="shared" si="1"/>
        <v>S관(3공장) [20] 분리 B형 분리수화접착4호기</v>
      </c>
    </row>
    <row r="83" spans="1:7" x14ac:dyDescent="0.3">
      <c r="A83" t="s">
        <v>26</v>
      </c>
      <c r="B83" t="s">
        <v>4</v>
      </c>
      <c r="C83" t="s">
        <v>147</v>
      </c>
      <c r="D83">
        <v>53170</v>
      </c>
      <c r="G83" t="str">
        <f t="shared" si="1"/>
        <v>S관(3공장) [20] 분리 B형 분리수화접착3호기</v>
      </c>
    </row>
    <row r="84" spans="1:7" x14ac:dyDescent="0.3">
      <c r="A84" t="s">
        <v>26</v>
      </c>
      <c r="B84" t="s">
        <v>4</v>
      </c>
      <c r="C84" t="s">
        <v>44</v>
      </c>
      <c r="D84">
        <v>43200</v>
      </c>
      <c r="G84" t="str">
        <f t="shared" si="1"/>
        <v>S관(3공장) [20] 분리 A형 인라인3호기</v>
      </c>
    </row>
    <row r="85" spans="1:7" x14ac:dyDescent="0.3">
      <c r="A85" t="s">
        <v>26</v>
      </c>
      <c r="B85" t="s">
        <v>4</v>
      </c>
      <c r="C85" t="s">
        <v>58</v>
      </c>
      <c r="D85">
        <v>43200</v>
      </c>
      <c r="G85" t="str">
        <f t="shared" si="1"/>
        <v>S관(3공장) [20] 분리 A형 인라인1호기</v>
      </c>
    </row>
    <row r="86" spans="1:7" x14ac:dyDescent="0.3">
      <c r="A86" t="s">
        <v>26</v>
      </c>
      <c r="B86" t="s">
        <v>4</v>
      </c>
      <c r="C86" t="s">
        <v>150</v>
      </c>
      <c r="D86">
        <v>53170</v>
      </c>
      <c r="G86" t="str">
        <f t="shared" si="1"/>
        <v>S관(3공장) [20] 분리 B형 분리수화접착8호기</v>
      </c>
    </row>
    <row r="87" spans="1:7" x14ac:dyDescent="0.3">
      <c r="A87" t="s">
        <v>26</v>
      </c>
      <c r="B87" t="s">
        <v>4</v>
      </c>
      <c r="C87" t="s">
        <v>59</v>
      </c>
      <c r="D87">
        <v>43200</v>
      </c>
      <c r="G87" t="str">
        <f t="shared" si="1"/>
        <v>S관(3공장) [20] 분리 A형 인라인2호기</v>
      </c>
    </row>
    <row r="88" spans="1:7" x14ac:dyDescent="0.3">
      <c r="A88" t="s">
        <v>26</v>
      </c>
      <c r="B88" t="s">
        <v>4</v>
      </c>
      <c r="C88" t="s">
        <v>71</v>
      </c>
      <c r="D88">
        <v>43200</v>
      </c>
      <c r="G88" t="str">
        <f t="shared" si="1"/>
        <v>S관(3공장) [20] 분리 A형 인라인5호기</v>
      </c>
    </row>
    <row r="89" spans="1:7" x14ac:dyDescent="0.3">
      <c r="A89" t="s">
        <v>3</v>
      </c>
      <c r="B89" t="s">
        <v>7</v>
      </c>
      <c r="C89" t="s">
        <v>11</v>
      </c>
      <c r="D89">
        <v>30000</v>
      </c>
      <c r="G89" t="str">
        <f t="shared" si="1"/>
        <v>A관(1공장) [45] 하이드레이션/전면검사 워터배스1-3호기</v>
      </c>
    </row>
    <row r="90" spans="1:7" x14ac:dyDescent="0.3">
      <c r="A90" t="s">
        <v>3</v>
      </c>
      <c r="B90" t="s">
        <v>7</v>
      </c>
      <c r="C90" t="s">
        <v>49</v>
      </c>
      <c r="D90">
        <v>30000</v>
      </c>
      <c r="G90" t="str">
        <f t="shared" si="1"/>
        <v>A관(1공장) [45] 하이드레이션/전면검사 워터배스1-4호기</v>
      </c>
    </row>
    <row r="91" spans="1:7" x14ac:dyDescent="0.3">
      <c r="A91" t="s">
        <v>3</v>
      </c>
      <c r="B91" t="s">
        <v>7</v>
      </c>
      <c r="C91" t="s">
        <v>64</v>
      </c>
      <c r="D91">
        <v>150000</v>
      </c>
      <c r="G91" t="str">
        <f t="shared" si="1"/>
        <v>A관(1공장) [45] 하이드레이션/전면검사 워터배스1-5호기</v>
      </c>
    </row>
    <row r="92" spans="1:7" x14ac:dyDescent="0.3">
      <c r="A92" t="s">
        <v>3</v>
      </c>
      <c r="B92" t="s">
        <v>7</v>
      </c>
      <c r="C92" t="s">
        <v>66</v>
      </c>
      <c r="D92">
        <v>30000</v>
      </c>
      <c r="G92" t="str">
        <f t="shared" si="1"/>
        <v>A관(1공장) [45] 하이드레이션/전면검사 워터배스1-1호기</v>
      </c>
    </row>
    <row r="93" spans="1:7" x14ac:dyDescent="0.3">
      <c r="A93" t="s">
        <v>3</v>
      </c>
      <c r="B93" t="s">
        <v>7</v>
      </c>
      <c r="C93" t="s">
        <v>80</v>
      </c>
      <c r="D93">
        <v>150000</v>
      </c>
      <c r="G93" t="str">
        <f t="shared" si="1"/>
        <v>A관(1공장) [45] 하이드레이션/전면검사 워터배스1-6호기</v>
      </c>
    </row>
    <row r="94" spans="1:7" x14ac:dyDescent="0.3">
      <c r="A94" t="s">
        <v>3</v>
      </c>
      <c r="B94" t="s">
        <v>7</v>
      </c>
      <c r="C94" t="s">
        <v>89</v>
      </c>
      <c r="G94" t="str">
        <f t="shared" si="1"/>
        <v>A관(1공장) [45] 하이드레이션/전면검사 1공장 실리콘수화기</v>
      </c>
    </row>
    <row r="95" spans="1:7" x14ac:dyDescent="0.3">
      <c r="A95" t="s">
        <v>3</v>
      </c>
      <c r="B95" t="s">
        <v>7</v>
      </c>
      <c r="C95" t="s">
        <v>114</v>
      </c>
      <c r="D95">
        <v>30000</v>
      </c>
      <c r="G95" t="str">
        <f t="shared" si="1"/>
        <v>A관(1공장) [45] 하이드레이션/전면검사 워터배스1-2호기</v>
      </c>
    </row>
    <row r="96" spans="1:7" x14ac:dyDescent="0.3">
      <c r="A96" t="s">
        <v>6</v>
      </c>
      <c r="B96" t="s">
        <v>7</v>
      </c>
      <c r="C96" t="s">
        <v>8</v>
      </c>
      <c r="D96">
        <v>150000</v>
      </c>
      <c r="G96" t="str">
        <f t="shared" si="1"/>
        <v>C관(2공장) [45] 하이드레이션/전면검사 워터배스2-12호기</v>
      </c>
    </row>
    <row r="97" spans="1:7" x14ac:dyDescent="0.3">
      <c r="A97" t="s">
        <v>6</v>
      </c>
      <c r="B97" t="s">
        <v>7</v>
      </c>
      <c r="C97" t="s">
        <v>14</v>
      </c>
      <c r="D97">
        <v>120000</v>
      </c>
      <c r="G97" t="str">
        <f t="shared" si="1"/>
        <v>C관(2공장) [45] 하이드레이션/전면검사 워터배스2-2호기</v>
      </c>
    </row>
    <row r="98" spans="1:7" x14ac:dyDescent="0.3">
      <c r="A98" t="s">
        <v>6</v>
      </c>
      <c r="B98" t="s">
        <v>7</v>
      </c>
      <c r="C98" t="s">
        <v>24</v>
      </c>
      <c r="D98">
        <v>150000</v>
      </c>
      <c r="G98" t="str">
        <f t="shared" si="1"/>
        <v>C관(2공장) [45] 하이드레이션/전면검사 워터배스2-11호기</v>
      </c>
    </row>
    <row r="99" spans="1:7" x14ac:dyDescent="0.3">
      <c r="A99" t="s">
        <v>6</v>
      </c>
      <c r="B99" t="s">
        <v>7</v>
      </c>
      <c r="C99" t="s">
        <v>37</v>
      </c>
      <c r="D99">
        <v>120000</v>
      </c>
      <c r="G99" t="str">
        <f t="shared" si="1"/>
        <v>C관(2공장) [45] 하이드레이션/전면검사 워터배스2-9호기</v>
      </c>
    </row>
    <row r="100" spans="1:7" x14ac:dyDescent="0.3">
      <c r="A100" t="s">
        <v>6</v>
      </c>
      <c r="B100" t="s">
        <v>7</v>
      </c>
      <c r="C100" t="s">
        <v>38</v>
      </c>
      <c r="D100">
        <v>150000</v>
      </c>
      <c r="G100" t="str">
        <f t="shared" si="1"/>
        <v>C관(2공장) [45] 하이드레이션/전면검사 워터배스2-14호기</v>
      </c>
    </row>
    <row r="101" spans="1:7" x14ac:dyDescent="0.3">
      <c r="A101" t="s">
        <v>6</v>
      </c>
      <c r="B101" t="s">
        <v>7</v>
      </c>
      <c r="C101" t="s">
        <v>43</v>
      </c>
      <c r="D101">
        <v>120000</v>
      </c>
      <c r="G101" t="str">
        <f t="shared" si="1"/>
        <v>C관(2공장) [45] 하이드레이션/전면검사 워터배스2-1호기</v>
      </c>
    </row>
    <row r="102" spans="1:7" x14ac:dyDescent="0.3">
      <c r="A102" t="s">
        <v>6</v>
      </c>
      <c r="B102" t="s">
        <v>7</v>
      </c>
      <c r="C102" t="s">
        <v>72</v>
      </c>
      <c r="D102">
        <v>120000</v>
      </c>
      <c r="G102" t="str">
        <f t="shared" si="1"/>
        <v>C관(2공장) [45] 하이드레이션/전면검사 워터배스2-4호기</v>
      </c>
    </row>
    <row r="103" spans="1:7" x14ac:dyDescent="0.3">
      <c r="A103" t="s">
        <v>6</v>
      </c>
      <c r="B103" t="s">
        <v>7</v>
      </c>
      <c r="C103" t="s">
        <v>77</v>
      </c>
      <c r="D103">
        <v>150000</v>
      </c>
      <c r="G103" t="str">
        <f t="shared" si="1"/>
        <v>C관(2공장) [45] 하이드레이션/전면검사 워터배스2-13호기</v>
      </c>
    </row>
    <row r="104" spans="1:7" x14ac:dyDescent="0.3">
      <c r="A104" t="s">
        <v>6</v>
      </c>
      <c r="B104" t="s">
        <v>7</v>
      </c>
      <c r="C104" t="s">
        <v>85</v>
      </c>
      <c r="D104">
        <v>120000</v>
      </c>
      <c r="G104" t="str">
        <f t="shared" si="1"/>
        <v>C관(2공장) [45] 하이드레이션/전면검사 워터배스2-10호기</v>
      </c>
    </row>
    <row r="105" spans="1:7" x14ac:dyDescent="0.3">
      <c r="A105" t="s">
        <v>6</v>
      </c>
      <c r="B105" t="s">
        <v>7</v>
      </c>
      <c r="C105" t="s">
        <v>92</v>
      </c>
      <c r="D105">
        <v>120000</v>
      </c>
      <c r="G105" t="str">
        <f t="shared" si="1"/>
        <v>C관(2공장) [45] 하이드레이션/전면검사 워터배스2-3호기</v>
      </c>
    </row>
    <row r="106" spans="1:7" x14ac:dyDescent="0.3">
      <c r="A106" t="s">
        <v>6</v>
      </c>
      <c r="B106" t="s">
        <v>7</v>
      </c>
      <c r="C106" t="s">
        <v>124</v>
      </c>
      <c r="D106">
        <v>120000</v>
      </c>
      <c r="G106" t="str">
        <f t="shared" si="1"/>
        <v>C관(2공장) [45] 하이드레이션/전면검사 워터배스2-5호기</v>
      </c>
    </row>
    <row r="107" spans="1:7" x14ac:dyDescent="0.3">
      <c r="A107" t="s">
        <v>6</v>
      </c>
      <c r="B107" t="s">
        <v>7</v>
      </c>
      <c r="C107" t="s">
        <v>127</v>
      </c>
      <c r="D107">
        <v>120000</v>
      </c>
      <c r="G107" t="str">
        <f t="shared" si="1"/>
        <v>C관(2공장) [45] 하이드레이션/전면검사 워터배스2-8호기</v>
      </c>
    </row>
    <row r="108" spans="1:7" x14ac:dyDescent="0.3">
      <c r="A108" t="s">
        <v>6</v>
      </c>
      <c r="B108" t="s">
        <v>7</v>
      </c>
      <c r="C108" t="s">
        <v>136</v>
      </c>
      <c r="D108">
        <v>120000</v>
      </c>
      <c r="G108" t="str">
        <f t="shared" si="1"/>
        <v>C관(2공장) [45] 하이드레이션/전면검사 워터배스2-7호기</v>
      </c>
    </row>
    <row r="109" spans="1:7" x14ac:dyDescent="0.3">
      <c r="A109" t="s">
        <v>6</v>
      </c>
      <c r="B109" t="s">
        <v>7</v>
      </c>
      <c r="C109" t="s">
        <v>152</v>
      </c>
      <c r="D109">
        <v>30000</v>
      </c>
      <c r="G109" t="str">
        <f t="shared" si="1"/>
        <v>C관(2공장) [45] 하이드레이션/전면검사 워터배스2-6호기</v>
      </c>
    </row>
    <row r="110" spans="1:7" x14ac:dyDescent="0.3">
      <c r="A110" t="s">
        <v>26</v>
      </c>
      <c r="B110" t="s">
        <v>7</v>
      </c>
      <c r="C110" t="s">
        <v>52</v>
      </c>
      <c r="D110">
        <v>60000</v>
      </c>
      <c r="G110" t="str">
        <f t="shared" si="1"/>
        <v>S관(3공장) [45] 하이드레이션/전면검사 B형 분리수화접착2호기</v>
      </c>
    </row>
    <row r="111" spans="1:7" x14ac:dyDescent="0.3">
      <c r="A111" t="s">
        <v>26</v>
      </c>
      <c r="B111" t="s">
        <v>7</v>
      </c>
      <c r="C111" t="s">
        <v>53</v>
      </c>
      <c r="D111">
        <v>60000</v>
      </c>
      <c r="G111" t="str">
        <f t="shared" si="1"/>
        <v>S관(3공장) [45] 하이드레이션/전면검사 B형 분리수화접착1호기</v>
      </c>
    </row>
    <row r="112" spans="1:7" x14ac:dyDescent="0.3">
      <c r="A112" t="s">
        <v>26</v>
      </c>
      <c r="B112" t="s">
        <v>7</v>
      </c>
      <c r="C112" t="s">
        <v>57</v>
      </c>
      <c r="D112">
        <v>60000</v>
      </c>
      <c r="G112" t="str">
        <f t="shared" si="1"/>
        <v>S관(3공장) [45] 하이드레이션/전면검사 B형 분리수화접착4호기</v>
      </c>
    </row>
    <row r="113" spans="1:7" x14ac:dyDescent="0.3">
      <c r="A113" t="s">
        <v>26</v>
      </c>
      <c r="B113" t="s">
        <v>7</v>
      </c>
      <c r="C113" t="s">
        <v>65</v>
      </c>
      <c r="D113">
        <v>240000</v>
      </c>
      <c r="G113" t="str">
        <f t="shared" si="1"/>
        <v>S관(3공장) [45] 하이드레이션/전면검사 S관 실리콘 자동수화기</v>
      </c>
    </row>
    <row r="114" spans="1:7" x14ac:dyDescent="0.3">
      <c r="A114" t="s">
        <v>26</v>
      </c>
      <c r="B114" t="s">
        <v>7</v>
      </c>
      <c r="C114" t="s">
        <v>75</v>
      </c>
      <c r="D114">
        <v>60000</v>
      </c>
      <c r="G114" t="str">
        <f t="shared" si="1"/>
        <v>S관(3공장) [45] 하이드레이션/전면검사 B형 분리수화접착5호기</v>
      </c>
    </row>
    <row r="115" spans="1:7" x14ac:dyDescent="0.3">
      <c r="A115" t="s">
        <v>3</v>
      </c>
      <c r="B115" t="s">
        <v>9</v>
      </c>
      <c r="C115" t="s">
        <v>15</v>
      </c>
      <c r="D115">
        <v>13293</v>
      </c>
      <c r="G115" t="str">
        <f t="shared" si="1"/>
        <v>A관(1공장) [55] 접착/ 멸균 검사8호기</v>
      </c>
    </row>
    <row r="116" spans="1:7" x14ac:dyDescent="0.3">
      <c r="A116" t="s">
        <v>3</v>
      </c>
      <c r="B116" t="s">
        <v>9</v>
      </c>
      <c r="C116" t="s">
        <v>19</v>
      </c>
      <c r="D116">
        <v>13293</v>
      </c>
      <c r="G116" t="str">
        <f t="shared" si="1"/>
        <v>A관(1공장) [55] 접착/ 멸균 검사14호기</v>
      </c>
    </row>
    <row r="117" spans="1:7" x14ac:dyDescent="0.3">
      <c r="A117" t="s">
        <v>3</v>
      </c>
      <c r="B117" t="s">
        <v>9</v>
      </c>
      <c r="C117" t="s">
        <v>33</v>
      </c>
      <c r="D117">
        <v>13293</v>
      </c>
      <c r="G117" t="str">
        <f t="shared" si="1"/>
        <v>A관(1공장) [55] 접착/ 멸균 검사15호기</v>
      </c>
    </row>
    <row r="118" spans="1:7" x14ac:dyDescent="0.3">
      <c r="A118" t="s">
        <v>3</v>
      </c>
      <c r="B118" t="s">
        <v>9</v>
      </c>
      <c r="C118" t="s">
        <v>41</v>
      </c>
      <c r="D118">
        <v>13293</v>
      </c>
      <c r="G118" t="str">
        <f t="shared" si="1"/>
        <v>A관(1공장) [55] 접착/ 멸균 검사11호기</v>
      </c>
    </row>
    <row r="119" spans="1:7" x14ac:dyDescent="0.3">
      <c r="A119" t="s">
        <v>3</v>
      </c>
      <c r="B119" t="s">
        <v>9</v>
      </c>
      <c r="C119" t="s">
        <v>60</v>
      </c>
      <c r="D119">
        <v>13293</v>
      </c>
      <c r="G119" t="str">
        <f t="shared" si="1"/>
        <v>A관(1공장) [55] 접착/ 멸균 검사18호기</v>
      </c>
    </row>
    <row r="120" spans="1:7" x14ac:dyDescent="0.3">
      <c r="A120" t="s">
        <v>3</v>
      </c>
      <c r="B120" t="s">
        <v>9</v>
      </c>
      <c r="C120" t="s">
        <v>63</v>
      </c>
      <c r="D120">
        <v>13293</v>
      </c>
      <c r="G120" t="str">
        <f t="shared" si="1"/>
        <v>A관(1공장) [55] 접착/ 멸균 검사23호기</v>
      </c>
    </row>
    <row r="121" spans="1:7" x14ac:dyDescent="0.3">
      <c r="A121" t="s">
        <v>3</v>
      </c>
      <c r="B121" t="s">
        <v>9</v>
      </c>
      <c r="C121" t="s">
        <v>70</v>
      </c>
      <c r="D121">
        <v>13293</v>
      </c>
      <c r="G121" t="str">
        <f t="shared" si="1"/>
        <v>A관(1공장) [55] 접착/ 멸균 검사22호기</v>
      </c>
    </row>
    <row r="122" spans="1:7" x14ac:dyDescent="0.3">
      <c r="A122" t="s">
        <v>3</v>
      </c>
      <c r="B122" t="s">
        <v>9</v>
      </c>
      <c r="C122" t="s">
        <v>81</v>
      </c>
      <c r="D122">
        <v>13293</v>
      </c>
      <c r="G122" t="str">
        <f t="shared" si="1"/>
        <v>A관(1공장) [55] 접착/ 멸균 검사17호기</v>
      </c>
    </row>
    <row r="123" spans="1:7" x14ac:dyDescent="0.3">
      <c r="A123" t="s">
        <v>3</v>
      </c>
      <c r="B123" t="s">
        <v>9</v>
      </c>
      <c r="C123" t="s">
        <v>83</v>
      </c>
      <c r="D123">
        <v>13293</v>
      </c>
      <c r="G123" t="str">
        <f t="shared" si="1"/>
        <v>A관(1공장) [55] 접착/ 멸균 검사10호기</v>
      </c>
    </row>
    <row r="124" spans="1:7" x14ac:dyDescent="0.3">
      <c r="A124" t="s">
        <v>3</v>
      </c>
      <c r="B124" t="s">
        <v>9</v>
      </c>
      <c r="C124" t="s">
        <v>88</v>
      </c>
      <c r="D124">
        <v>13293</v>
      </c>
      <c r="G124" t="str">
        <f t="shared" si="1"/>
        <v>A관(1공장) [55] 접착/ 멸균 검사20호기</v>
      </c>
    </row>
    <row r="125" spans="1:7" x14ac:dyDescent="0.3">
      <c r="A125" t="s">
        <v>3</v>
      </c>
      <c r="B125" t="s">
        <v>9</v>
      </c>
      <c r="C125" t="s">
        <v>98</v>
      </c>
      <c r="G125" t="str">
        <f t="shared" si="1"/>
        <v>A관(1공장) [55] 접착/ 멸균 바이알캡핑기</v>
      </c>
    </row>
    <row r="126" spans="1:7" x14ac:dyDescent="0.3">
      <c r="A126" t="s">
        <v>3</v>
      </c>
      <c r="B126" t="s">
        <v>9</v>
      </c>
      <c r="C126" t="s">
        <v>126</v>
      </c>
      <c r="D126">
        <v>13293</v>
      </c>
      <c r="G126" t="str">
        <f t="shared" si="1"/>
        <v>A관(1공장) [55] 접착/ 멸균 검사21호기</v>
      </c>
    </row>
    <row r="127" spans="1:7" x14ac:dyDescent="0.3">
      <c r="A127" t="s">
        <v>3</v>
      </c>
      <c r="B127" t="s">
        <v>9</v>
      </c>
      <c r="C127" t="s">
        <v>133</v>
      </c>
      <c r="D127">
        <v>13293</v>
      </c>
      <c r="G127" t="str">
        <f t="shared" si="1"/>
        <v>A관(1공장) [55] 접착/ 멸균 검사9호기</v>
      </c>
    </row>
    <row r="128" spans="1:7" x14ac:dyDescent="0.3">
      <c r="A128" t="s">
        <v>3</v>
      </c>
      <c r="B128" t="s">
        <v>9</v>
      </c>
      <c r="C128" t="s">
        <v>134</v>
      </c>
      <c r="D128">
        <v>13293</v>
      </c>
      <c r="G128" t="str">
        <f t="shared" si="1"/>
        <v>A관(1공장) [55] 접착/ 멸균 검사19호기</v>
      </c>
    </row>
    <row r="129" spans="1:7" x14ac:dyDescent="0.3">
      <c r="A129" t="s">
        <v>3</v>
      </c>
      <c r="B129" t="s">
        <v>9</v>
      </c>
      <c r="C129" t="s">
        <v>138</v>
      </c>
      <c r="D129">
        <v>13293</v>
      </c>
      <c r="G129" t="str">
        <f t="shared" si="1"/>
        <v>A관(1공장) [55] 접착/ 멸균 검사6호기</v>
      </c>
    </row>
    <row r="130" spans="1:7" x14ac:dyDescent="0.3">
      <c r="A130" t="s">
        <v>3</v>
      </c>
      <c r="B130" t="s">
        <v>9</v>
      </c>
      <c r="C130" t="s">
        <v>140</v>
      </c>
      <c r="D130">
        <v>13293</v>
      </c>
      <c r="G130" t="str">
        <f t="shared" ref="G130:G193" si="2">A130&amp;" "&amp;B130&amp;" "&amp;C130</f>
        <v>A관(1공장) [55] 접착/ 멸균 검사16호기</v>
      </c>
    </row>
    <row r="131" spans="1:7" x14ac:dyDescent="0.3">
      <c r="A131" t="s">
        <v>3</v>
      </c>
      <c r="B131" t="s">
        <v>9</v>
      </c>
      <c r="C131" t="s">
        <v>148</v>
      </c>
      <c r="D131">
        <v>13293</v>
      </c>
      <c r="G131" t="str">
        <f t="shared" si="2"/>
        <v>A관(1공장) [55] 접착/ 멸균 검사7호기</v>
      </c>
    </row>
    <row r="132" spans="1:7" x14ac:dyDescent="0.3">
      <c r="A132" t="s">
        <v>6</v>
      </c>
      <c r="B132" t="s">
        <v>9</v>
      </c>
      <c r="C132" t="s">
        <v>10</v>
      </c>
      <c r="D132">
        <v>78546</v>
      </c>
      <c r="G132" t="str">
        <f t="shared" si="2"/>
        <v>C관(2공장) [55] 접착/ 멸균 검사42호기</v>
      </c>
    </row>
    <row r="133" spans="1:7" x14ac:dyDescent="0.3">
      <c r="A133" t="s">
        <v>6</v>
      </c>
      <c r="B133" t="s">
        <v>9</v>
      </c>
      <c r="C133" t="s">
        <v>20</v>
      </c>
      <c r="D133">
        <v>78546</v>
      </c>
      <c r="G133" t="str">
        <f t="shared" si="2"/>
        <v>C관(2공장) [55] 접착/ 멸균 검사47호기</v>
      </c>
    </row>
    <row r="134" spans="1:7" x14ac:dyDescent="0.3">
      <c r="A134" t="s">
        <v>6</v>
      </c>
      <c r="B134" t="s">
        <v>9</v>
      </c>
      <c r="C134" t="s">
        <v>21</v>
      </c>
      <c r="D134">
        <v>78546</v>
      </c>
      <c r="G134" t="str">
        <f t="shared" si="2"/>
        <v>C관(2공장) [55] 접착/ 멸균 검사41호기</v>
      </c>
    </row>
    <row r="135" spans="1:7" x14ac:dyDescent="0.3">
      <c r="A135" t="s">
        <v>6</v>
      </c>
      <c r="B135" t="s">
        <v>9</v>
      </c>
      <c r="C135" t="s">
        <v>22</v>
      </c>
      <c r="D135">
        <v>78546</v>
      </c>
      <c r="G135" t="str">
        <f t="shared" si="2"/>
        <v>C관(2공장) [55] 접착/ 멸균 검사43호기</v>
      </c>
    </row>
    <row r="136" spans="1:7" x14ac:dyDescent="0.3">
      <c r="A136" t="s">
        <v>6</v>
      </c>
      <c r="B136" t="s">
        <v>9</v>
      </c>
      <c r="C136" t="s">
        <v>25</v>
      </c>
      <c r="D136">
        <v>78546</v>
      </c>
      <c r="G136" t="str">
        <f t="shared" si="2"/>
        <v>C관(2공장) [55] 접착/ 멸균 검사34호기</v>
      </c>
    </row>
    <row r="137" spans="1:7" x14ac:dyDescent="0.3">
      <c r="A137" t="s">
        <v>6</v>
      </c>
      <c r="B137" t="s">
        <v>9</v>
      </c>
      <c r="C137" t="s">
        <v>30</v>
      </c>
      <c r="D137">
        <v>78546</v>
      </c>
      <c r="G137" t="str">
        <f t="shared" si="2"/>
        <v>C관(2공장) [55] 접착/ 멸균 검사44호기</v>
      </c>
    </row>
    <row r="138" spans="1:7" x14ac:dyDescent="0.3">
      <c r="A138" t="s">
        <v>6</v>
      </c>
      <c r="B138" t="s">
        <v>9</v>
      </c>
      <c r="C138" t="s">
        <v>36</v>
      </c>
      <c r="D138">
        <v>78546</v>
      </c>
      <c r="G138" t="str">
        <f t="shared" si="2"/>
        <v>C관(2공장) [55] 접착/ 멸균 검사40호기</v>
      </c>
    </row>
    <row r="139" spans="1:7" x14ac:dyDescent="0.3">
      <c r="A139" t="s">
        <v>6</v>
      </c>
      <c r="B139" t="s">
        <v>9</v>
      </c>
      <c r="C139" t="s">
        <v>39</v>
      </c>
      <c r="D139">
        <v>78546</v>
      </c>
      <c r="G139" t="str">
        <f t="shared" si="2"/>
        <v>C관(2공장) [55] 접착/ 멸균 검사45호기</v>
      </c>
    </row>
    <row r="140" spans="1:7" x14ac:dyDescent="0.3">
      <c r="A140" t="s">
        <v>6</v>
      </c>
      <c r="B140" t="s">
        <v>9</v>
      </c>
      <c r="C140" t="s">
        <v>45</v>
      </c>
      <c r="D140">
        <v>78546</v>
      </c>
      <c r="G140" t="str">
        <f t="shared" si="2"/>
        <v>C관(2공장) [55] 접착/ 멸균 검사48호기</v>
      </c>
    </row>
    <row r="141" spans="1:7" x14ac:dyDescent="0.3">
      <c r="A141" t="s">
        <v>6</v>
      </c>
      <c r="B141" t="s">
        <v>9</v>
      </c>
      <c r="C141" t="s">
        <v>46</v>
      </c>
      <c r="D141">
        <v>78546</v>
      </c>
      <c r="G141" t="str">
        <f t="shared" si="2"/>
        <v>C관(2공장) [55] 접착/ 멸균 검사36호기</v>
      </c>
    </row>
    <row r="142" spans="1:7" x14ac:dyDescent="0.3">
      <c r="A142" t="s">
        <v>6</v>
      </c>
      <c r="B142" t="s">
        <v>9</v>
      </c>
      <c r="C142" t="s">
        <v>47</v>
      </c>
      <c r="D142">
        <v>78546</v>
      </c>
      <c r="G142" t="str">
        <f t="shared" si="2"/>
        <v>C관(2공장) [55] 접착/ 멸균 검사35호기</v>
      </c>
    </row>
    <row r="143" spans="1:7" x14ac:dyDescent="0.3">
      <c r="A143" t="s">
        <v>6</v>
      </c>
      <c r="B143" t="s">
        <v>9</v>
      </c>
      <c r="C143" t="s">
        <v>50</v>
      </c>
      <c r="D143">
        <v>78546</v>
      </c>
      <c r="G143" t="str">
        <f t="shared" si="2"/>
        <v>C관(2공장) [55] 접착/ 멸균 검사46호기</v>
      </c>
    </row>
    <row r="144" spans="1:7" x14ac:dyDescent="0.3">
      <c r="A144" t="s">
        <v>6</v>
      </c>
      <c r="B144" t="s">
        <v>9</v>
      </c>
      <c r="C144" t="s">
        <v>62</v>
      </c>
      <c r="D144">
        <v>78546</v>
      </c>
      <c r="G144" t="str">
        <f t="shared" si="2"/>
        <v>C관(2공장) [55] 접착/ 멸균 검사37호기</v>
      </c>
    </row>
    <row r="145" spans="1:7" x14ac:dyDescent="0.3">
      <c r="A145" t="s">
        <v>6</v>
      </c>
      <c r="B145" t="s">
        <v>9</v>
      </c>
      <c r="C145" t="s">
        <v>73</v>
      </c>
      <c r="D145">
        <v>78546</v>
      </c>
      <c r="G145" t="str">
        <f t="shared" si="2"/>
        <v>C관(2공장) [55] 접착/ 멸균 검사38호기</v>
      </c>
    </row>
    <row r="146" spans="1:7" x14ac:dyDescent="0.3">
      <c r="A146" t="s">
        <v>6</v>
      </c>
      <c r="B146" t="s">
        <v>9</v>
      </c>
      <c r="C146" t="s">
        <v>78</v>
      </c>
      <c r="D146">
        <v>78546</v>
      </c>
      <c r="G146" t="str">
        <f t="shared" si="2"/>
        <v>C관(2공장) [55] 접착/ 멸균 검사39호기</v>
      </c>
    </row>
    <row r="147" spans="1:7" x14ac:dyDescent="0.3">
      <c r="A147" t="s">
        <v>26</v>
      </c>
      <c r="B147" t="s">
        <v>9</v>
      </c>
      <c r="C147" t="s">
        <v>27</v>
      </c>
      <c r="D147">
        <v>54000</v>
      </c>
      <c r="G147" t="str">
        <f t="shared" si="2"/>
        <v>S관(3공장) [55] 접착/ 멸균 A형 인라인4호기</v>
      </c>
    </row>
    <row r="148" spans="1:7" x14ac:dyDescent="0.3">
      <c r="A148" t="s">
        <v>26</v>
      </c>
      <c r="B148" t="s">
        <v>9</v>
      </c>
      <c r="C148" t="s">
        <v>44</v>
      </c>
      <c r="D148">
        <v>54000</v>
      </c>
      <c r="G148" t="str">
        <f t="shared" si="2"/>
        <v>S관(3공장) [55] 접착/ 멸균 A형 인라인3호기</v>
      </c>
    </row>
    <row r="149" spans="1:7" x14ac:dyDescent="0.3">
      <c r="A149" t="s">
        <v>26</v>
      </c>
      <c r="B149" t="s">
        <v>9</v>
      </c>
      <c r="C149" t="s">
        <v>58</v>
      </c>
      <c r="D149">
        <v>54000</v>
      </c>
      <c r="G149" t="str">
        <f t="shared" si="2"/>
        <v>S관(3공장) [55] 접착/ 멸균 A형 인라인1호기</v>
      </c>
    </row>
    <row r="150" spans="1:7" x14ac:dyDescent="0.3">
      <c r="A150" t="s">
        <v>26</v>
      </c>
      <c r="B150" t="s">
        <v>9</v>
      </c>
      <c r="C150" t="s">
        <v>59</v>
      </c>
      <c r="D150">
        <v>54000</v>
      </c>
      <c r="G150" t="str">
        <f t="shared" si="2"/>
        <v>S관(3공장) [55] 접착/ 멸균 A형 인라인2호기</v>
      </c>
    </row>
    <row r="151" spans="1:7" x14ac:dyDescent="0.3">
      <c r="A151" t="s">
        <v>26</v>
      </c>
      <c r="B151" t="s">
        <v>9</v>
      </c>
      <c r="C151" t="s">
        <v>61</v>
      </c>
      <c r="D151">
        <v>54000</v>
      </c>
      <c r="G151" t="str">
        <f t="shared" si="2"/>
        <v>S관(3공장) [55] 접착/ 멸균 A형 인라인6호기</v>
      </c>
    </row>
    <row r="152" spans="1:7" x14ac:dyDescent="0.3">
      <c r="A152" t="s">
        <v>26</v>
      </c>
      <c r="B152" t="s">
        <v>9</v>
      </c>
      <c r="C152" t="s">
        <v>71</v>
      </c>
      <c r="D152">
        <v>54000</v>
      </c>
      <c r="G152" t="str">
        <f t="shared" si="2"/>
        <v>S관(3공장) [55] 접착/ 멸균 A형 인라인5호기</v>
      </c>
    </row>
    <row r="153" spans="1:7" x14ac:dyDescent="0.3">
      <c r="A153" t="s">
        <v>3</v>
      </c>
      <c r="B153" t="s">
        <v>12</v>
      </c>
      <c r="C153" t="s">
        <v>76</v>
      </c>
      <c r="D153">
        <v>112902</v>
      </c>
      <c r="G153" t="str">
        <f t="shared" si="2"/>
        <v>A관(1공장) [80] 누수/규격검사 누수/규격검사(1공장)</v>
      </c>
    </row>
    <row r="154" spans="1:7" x14ac:dyDescent="0.3">
      <c r="A154" t="s">
        <v>6</v>
      </c>
      <c r="B154" t="s">
        <v>12</v>
      </c>
      <c r="C154" t="s">
        <v>13</v>
      </c>
      <c r="D154">
        <v>720000</v>
      </c>
      <c r="G154" t="str">
        <f t="shared" si="2"/>
        <v>C관(2공장) [80] 누수/규격검사 누수/규격검사(2공장)</v>
      </c>
    </row>
    <row r="155" spans="1:7" x14ac:dyDescent="0.3">
      <c r="A155" t="s">
        <v>26</v>
      </c>
      <c r="B155" t="s">
        <v>12</v>
      </c>
      <c r="C155" t="s">
        <v>28</v>
      </c>
      <c r="D155">
        <v>100645</v>
      </c>
      <c r="G155" t="str">
        <f t="shared" si="2"/>
        <v>S관(3공장) [80] 누수/규격검사 누수/규격검사(3공장)</v>
      </c>
    </row>
    <row r="156" spans="1:7" x14ac:dyDescent="0.3">
      <c r="A156" t="s">
        <v>6</v>
      </c>
      <c r="B156" t="s">
        <v>16</v>
      </c>
      <c r="C156" t="s">
        <v>155</v>
      </c>
      <c r="D156">
        <f>VLOOKUP(G156,'[1]7월_수정기입'!$D$3:$E$217,2,)</f>
        <v>43200</v>
      </c>
      <c r="G156" t="str">
        <f t="shared" si="2"/>
        <v>C관(2공장) [10] 사출조립 조립19호기</v>
      </c>
    </row>
    <row r="157" spans="1:7" x14ac:dyDescent="0.3">
      <c r="A157" t="s">
        <v>6</v>
      </c>
      <c r="B157" t="s">
        <v>16</v>
      </c>
      <c r="C157" t="s">
        <v>158</v>
      </c>
      <c r="D157">
        <f>VLOOKUP(G157,'[1]7월_수정기입'!$D$3:$E$217,2,)</f>
        <v>43200</v>
      </c>
      <c r="G157" t="str">
        <f t="shared" si="2"/>
        <v>C관(2공장) [10] 사출조립 조립43호기</v>
      </c>
    </row>
    <row r="158" spans="1:7" x14ac:dyDescent="0.3">
      <c r="A158" t="s">
        <v>6</v>
      </c>
      <c r="B158" t="s">
        <v>16</v>
      </c>
      <c r="C158" t="s">
        <v>162</v>
      </c>
      <c r="D158">
        <f>VLOOKUP(G158,'[1]7월_수정기입'!$D$3:$E$217,2,)</f>
        <v>43200</v>
      </c>
      <c r="G158" t="str">
        <f t="shared" si="2"/>
        <v>C관(2공장) [10] 사출조립 조립20호기</v>
      </c>
    </row>
    <row r="159" spans="1:7" x14ac:dyDescent="0.3">
      <c r="A159" t="s">
        <v>6</v>
      </c>
      <c r="B159" t="s">
        <v>16</v>
      </c>
      <c r="C159" t="s">
        <v>164</v>
      </c>
      <c r="D159">
        <f>VLOOKUP(G159,'[1]7월_수정기입'!$D$3:$E$217,2,)</f>
        <v>43200</v>
      </c>
      <c r="G159" t="str">
        <f t="shared" si="2"/>
        <v>C관(2공장) [10] 사출조립 조립18호기</v>
      </c>
    </row>
    <row r="160" spans="1:7" x14ac:dyDescent="0.3">
      <c r="A160" t="s">
        <v>6</v>
      </c>
      <c r="B160" t="s">
        <v>16</v>
      </c>
      <c r="C160" t="s">
        <v>171</v>
      </c>
      <c r="D160">
        <f>VLOOKUP(G160,'[1]7월_수정기입'!$D$3:$E$217,2,)</f>
        <v>43200</v>
      </c>
      <c r="G160" t="str">
        <f t="shared" si="2"/>
        <v>C관(2공장) [10] 사출조립 조립23호기</v>
      </c>
    </row>
    <row r="161" spans="1:7" x14ac:dyDescent="0.3">
      <c r="A161" t="s">
        <v>6</v>
      </c>
      <c r="B161" t="s">
        <v>16</v>
      </c>
      <c r="C161" t="s">
        <v>173</v>
      </c>
      <c r="D161">
        <f>VLOOKUP(G161,'[1]7월_수정기입'!$D$3:$E$217,2,)</f>
        <v>43200</v>
      </c>
      <c r="G161" t="str">
        <f t="shared" si="2"/>
        <v>C관(2공장) [10] 사출조립 조립21호기</v>
      </c>
    </row>
    <row r="162" spans="1:7" x14ac:dyDescent="0.3">
      <c r="A162" t="s">
        <v>6</v>
      </c>
      <c r="B162" t="s">
        <v>16</v>
      </c>
      <c r="C162" t="s">
        <v>174</v>
      </c>
      <c r="D162">
        <f>VLOOKUP(G162,'[1]7월_수정기입'!$D$3:$E$217,2,)</f>
        <v>43200</v>
      </c>
      <c r="G162" t="str">
        <f t="shared" si="2"/>
        <v>C관(2공장) [10] 사출조립 조립15호기</v>
      </c>
    </row>
    <row r="163" spans="1:7" x14ac:dyDescent="0.3">
      <c r="A163" t="s">
        <v>6</v>
      </c>
      <c r="B163" t="s">
        <v>16</v>
      </c>
      <c r="C163" t="s">
        <v>176</v>
      </c>
      <c r="D163">
        <f>VLOOKUP(G163,'[1]7월_수정기입'!$D$3:$E$217,2,)</f>
        <v>43200</v>
      </c>
      <c r="G163" t="str">
        <f t="shared" si="2"/>
        <v>C관(2공장) [10] 사출조립 조립14호기</v>
      </c>
    </row>
    <row r="164" spans="1:7" x14ac:dyDescent="0.3">
      <c r="A164" t="s">
        <v>26</v>
      </c>
      <c r="B164" t="s">
        <v>4</v>
      </c>
      <c r="C164" t="s">
        <v>61</v>
      </c>
      <c r="D164">
        <f>VLOOKUP(G164,'[1]7월_수정기입'!$D$3:$E$217,2,)</f>
        <v>43200</v>
      </c>
      <c r="G164" t="str">
        <f t="shared" si="2"/>
        <v>S관(3공장) [20] 분리 A형 인라인6호기</v>
      </c>
    </row>
    <row r="165" spans="1:7" x14ac:dyDescent="0.3">
      <c r="A165" t="s">
        <v>26</v>
      </c>
      <c r="B165" t="s">
        <v>16</v>
      </c>
      <c r="C165" t="s">
        <v>27</v>
      </c>
      <c r="D165">
        <f>VLOOKUP(G165,'[1]7월_수정기입'!$D$3:$E$217,2,)</f>
        <v>43200</v>
      </c>
      <c r="G165" t="str">
        <f t="shared" si="2"/>
        <v>S관(3공장) [10] 사출조립 A형 인라인4호기</v>
      </c>
    </row>
    <row r="166" spans="1:7" x14ac:dyDescent="0.3">
      <c r="A166" t="s">
        <v>26</v>
      </c>
      <c r="B166" t="s">
        <v>4</v>
      </c>
      <c r="C166" t="s">
        <v>27</v>
      </c>
      <c r="D166">
        <f>VLOOKUP(G166,'[1]7월_수정기입'!$D$3:$E$217,2,)</f>
        <v>43200</v>
      </c>
      <c r="G166" t="str">
        <f t="shared" si="2"/>
        <v>S관(3공장) [20] 분리 A형 인라인4호기</v>
      </c>
    </row>
    <row r="167" spans="1:7" x14ac:dyDescent="0.3">
      <c r="A167" t="s">
        <v>26</v>
      </c>
      <c r="B167" t="s">
        <v>4</v>
      </c>
      <c r="C167" t="s">
        <v>53</v>
      </c>
      <c r="D167">
        <f>VLOOKUP(G167,'[1]7월_수정기입'!$D$3:$E$217,2,)</f>
        <v>53170</v>
      </c>
      <c r="G167" t="str">
        <f t="shared" si="2"/>
        <v>S관(3공장) [20] 분리 B형 분리수화접착1호기</v>
      </c>
    </row>
    <row r="168" spans="1:7" x14ac:dyDescent="0.3">
      <c r="A168" t="s">
        <v>26</v>
      </c>
      <c r="B168" t="s">
        <v>7</v>
      </c>
      <c r="C168" t="s">
        <v>58</v>
      </c>
      <c r="D168">
        <f>VLOOKUP(G168,'[1]7월_수정기입'!$D$3:$E$217,2,)</f>
        <v>60000</v>
      </c>
      <c r="G168" t="str">
        <f t="shared" si="2"/>
        <v>S관(3공장) [45] 하이드레이션/전면검사 A형 인라인1호기</v>
      </c>
    </row>
    <row r="169" spans="1:7" x14ac:dyDescent="0.3">
      <c r="A169" t="s">
        <v>26</v>
      </c>
      <c r="B169" t="s">
        <v>7</v>
      </c>
      <c r="C169" t="s">
        <v>147</v>
      </c>
      <c r="D169">
        <f>VLOOKUP(G169,'[1]7월_수정기입'!$D$3:$E$217,2,)</f>
        <v>60000</v>
      </c>
      <c r="G169" t="str">
        <f t="shared" si="2"/>
        <v>S관(3공장) [45] 하이드레이션/전면검사 B형 분리수화접착3호기</v>
      </c>
    </row>
    <row r="170" spans="1:7" x14ac:dyDescent="0.3">
      <c r="A170" t="s">
        <v>26</v>
      </c>
      <c r="B170" t="s">
        <v>7</v>
      </c>
      <c r="C170" t="s">
        <v>59</v>
      </c>
      <c r="D170">
        <f>VLOOKUP(G170,'[1]7월_수정기입'!$D$3:$E$217,2,)</f>
        <v>60000</v>
      </c>
      <c r="G170" t="str">
        <f t="shared" si="2"/>
        <v>S관(3공장) [45] 하이드레이션/전면검사 A형 인라인2호기</v>
      </c>
    </row>
    <row r="171" spans="1:7" x14ac:dyDescent="0.3">
      <c r="A171" t="s">
        <v>26</v>
      </c>
      <c r="B171" t="s">
        <v>7</v>
      </c>
      <c r="C171" t="s">
        <v>130</v>
      </c>
      <c r="D171">
        <f>VLOOKUP(G171,'[1]7월_수정기입'!$D$3:$E$217,2,)</f>
        <v>60000</v>
      </c>
      <c r="G171" t="str">
        <f t="shared" si="2"/>
        <v>S관(3공장) [45] 하이드레이션/전면검사 B형 분리수화접착6호기</v>
      </c>
    </row>
    <row r="172" spans="1:7" x14ac:dyDescent="0.3">
      <c r="A172" t="s">
        <v>26</v>
      </c>
      <c r="B172" t="s">
        <v>7</v>
      </c>
      <c r="C172" t="s">
        <v>27</v>
      </c>
      <c r="D172">
        <f>VLOOKUP(G172,'[1]7월_수정기입'!$D$3:$E$217,2,)</f>
        <v>60000</v>
      </c>
      <c r="G172" t="str">
        <f t="shared" si="2"/>
        <v>S관(3공장) [45] 하이드레이션/전면검사 A형 인라인4호기</v>
      </c>
    </row>
    <row r="173" spans="1:7" x14ac:dyDescent="0.3">
      <c r="A173" t="s">
        <v>26</v>
      </c>
      <c r="B173" t="s">
        <v>7</v>
      </c>
      <c r="C173" t="s">
        <v>61</v>
      </c>
      <c r="D173">
        <f>VLOOKUP(G173,'[1]7월_수정기입'!$D$3:$E$217,2,)</f>
        <v>60000</v>
      </c>
      <c r="G173" t="str">
        <f t="shared" si="2"/>
        <v>S관(3공장) [45] 하이드레이션/전면검사 A형 인라인6호기</v>
      </c>
    </row>
    <row r="174" spans="1:7" x14ac:dyDescent="0.3">
      <c r="A174" t="s">
        <v>6</v>
      </c>
      <c r="B174" t="s">
        <v>4</v>
      </c>
      <c r="C174" t="s">
        <v>156</v>
      </c>
      <c r="D174">
        <f>VLOOKUP(G174,'[1]7월_수정기입'!$D$3:$E$217,2,)</f>
        <v>61715</v>
      </c>
      <c r="G174" t="str">
        <f t="shared" si="2"/>
        <v>C관(2공장) [20] 분리 분리21호기</v>
      </c>
    </row>
    <row r="175" spans="1:7" x14ac:dyDescent="0.3">
      <c r="A175" t="s">
        <v>6</v>
      </c>
      <c r="B175" t="s">
        <v>4</v>
      </c>
      <c r="C175" t="s">
        <v>180</v>
      </c>
      <c r="D175">
        <f>VLOOKUP(G175,'[1]7월_수정기입'!$D$3:$E$217,2,)</f>
        <v>61715</v>
      </c>
      <c r="G175" t="str">
        <f t="shared" si="2"/>
        <v>C관(2공장) [20] 분리 분리17호기</v>
      </c>
    </row>
    <row r="176" spans="1:7" x14ac:dyDescent="0.3">
      <c r="A176" t="s">
        <v>6</v>
      </c>
      <c r="B176" t="s">
        <v>4</v>
      </c>
      <c r="C176" t="s">
        <v>181</v>
      </c>
      <c r="D176">
        <f>VLOOKUP(G176,'[1]7월_수정기입'!$D$3:$E$217,2,)</f>
        <v>61715</v>
      </c>
      <c r="G176" t="str">
        <f t="shared" si="2"/>
        <v>C관(2공장) [20] 분리 분리18호기</v>
      </c>
    </row>
    <row r="177" spans="1:7" x14ac:dyDescent="0.3">
      <c r="A177" t="s">
        <v>3</v>
      </c>
      <c r="B177" t="s">
        <v>4</v>
      </c>
      <c r="C177" t="s">
        <v>172</v>
      </c>
      <c r="D177">
        <f>VLOOKUP(G177,'[1]7월_수정기입'!$D$3:$E$217,2,)</f>
        <v>62837</v>
      </c>
      <c r="G177" t="str">
        <f t="shared" si="2"/>
        <v>A관(1공장) [20] 분리 분리41호기(초음파)</v>
      </c>
    </row>
    <row r="178" spans="1:7" x14ac:dyDescent="0.3">
      <c r="A178" t="s">
        <v>6</v>
      </c>
      <c r="B178" t="s">
        <v>9</v>
      </c>
      <c r="C178" t="s">
        <v>177</v>
      </c>
      <c r="D178">
        <f>VLOOKUP(G178,'[1]7월_수정기입'!$D$3:$E$217,2,)</f>
        <v>66462</v>
      </c>
      <c r="G178" t="str">
        <f t="shared" si="2"/>
        <v>C관(2공장) [55] 접착/ 멸균 검사30호기</v>
      </c>
    </row>
    <row r="179" spans="1:7" x14ac:dyDescent="0.3">
      <c r="A179" t="s">
        <v>6</v>
      </c>
      <c r="B179" t="s">
        <v>9</v>
      </c>
      <c r="C179" t="s">
        <v>179</v>
      </c>
      <c r="D179">
        <f>VLOOKUP(G179,'[1]7월_수정기입'!$D$3:$E$217,2,)</f>
        <v>66462</v>
      </c>
      <c r="G179" t="str">
        <f t="shared" si="2"/>
        <v>C관(2공장) [55] 접착/ 멸균 검사33호기</v>
      </c>
    </row>
    <row r="180" spans="1:7" x14ac:dyDescent="0.3">
      <c r="A180" t="s">
        <v>26</v>
      </c>
      <c r="B180" t="s">
        <v>16</v>
      </c>
      <c r="C180" t="s">
        <v>159</v>
      </c>
      <c r="D180">
        <f>VLOOKUP(G180,'[1]7월_수정기입'!$D$3:$E$217,2,)</f>
        <v>76800</v>
      </c>
      <c r="G180" t="str">
        <f t="shared" si="2"/>
        <v>S관(3공장) [10] 사출조립 B형 조립중합1호기</v>
      </c>
    </row>
    <row r="181" spans="1:7" x14ac:dyDescent="0.3">
      <c r="A181" t="s">
        <v>26</v>
      </c>
      <c r="B181" t="s">
        <v>16</v>
      </c>
      <c r="C181" t="s">
        <v>160</v>
      </c>
      <c r="D181">
        <f>VLOOKUP(G181,'[1]7월_수정기입'!$D$3:$E$217,2,)</f>
        <v>76800</v>
      </c>
      <c r="G181" t="str">
        <f t="shared" si="2"/>
        <v>S관(3공장) [10] 사출조립 B형 조립중합6호기</v>
      </c>
    </row>
    <row r="182" spans="1:7" x14ac:dyDescent="0.3">
      <c r="A182" t="s">
        <v>26</v>
      </c>
      <c r="B182" t="s">
        <v>16</v>
      </c>
      <c r="C182" t="s">
        <v>165</v>
      </c>
      <c r="D182">
        <f>VLOOKUP(G182,'[1]7월_수정기입'!$D$3:$E$217,2,)</f>
        <v>76800</v>
      </c>
      <c r="G182" t="str">
        <f t="shared" si="2"/>
        <v>S관(3공장) [10] 사출조립 B형 조립중합4호기</v>
      </c>
    </row>
    <row r="183" spans="1:7" x14ac:dyDescent="0.3">
      <c r="A183" t="s">
        <v>26</v>
      </c>
      <c r="B183" t="s">
        <v>16</v>
      </c>
      <c r="C183" t="s">
        <v>168</v>
      </c>
      <c r="D183">
        <f>VLOOKUP(G183,'[1]7월_수정기입'!$D$3:$E$217,2,)</f>
        <v>76800</v>
      </c>
      <c r="G183" t="str">
        <f t="shared" si="2"/>
        <v>S관(3공장) [10] 사출조립 B형 조립중합7호기</v>
      </c>
    </row>
    <row r="184" spans="1:7" x14ac:dyDescent="0.3">
      <c r="A184" t="s">
        <v>3</v>
      </c>
      <c r="B184" t="s">
        <v>16</v>
      </c>
      <c r="C184" t="s">
        <v>157</v>
      </c>
      <c r="D184">
        <f>VLOOKUP(G184,'[1]7월_수정기입'!$D$3:$E$217,2,)</f>
        <v>86400</v>
      </c>
      <c r="G184" t="str">
        <f t="shared" si="2"/>
        <v>A관(1공장) [10] 사출조립 조립32호기</v>
      </c>
    </row>
    <row r="185" spans="1:7" x14ac:dyDescent="0.3">
      <c r="A185" t="s">
        <v>3</v>
      </c>
      <c r="B185" t="s">
        <v>16</v>
      </c>
      <c r="C185" t="s">
        <v>161</v>
      </c>
      <c r="D185">
        <f>VLOOKUP(G185,'[1]7월_수정기입'!$D$3:$E$217,2,)</f>
        <v>86400</v>
      </c>
      <c r="G185" t="str">
        <f t="shared" si="2"/>
        <v>A관(1공장) [10] 사출조립 조립30호기</v>
      </c>
    </row>
    <row r="186" spans="1:7" x14ac:dyDescent="0.3">
      <c r="A186" t="s">
        <v>3</v>
      </c>
      <c r="B186" t="s">
        <v>7</v>
      </c>
      <c r="C186" t="s">
        <v>76</v>
      </c>
      <c r="G186" t="str">
        <f t="shared" si="2"/>
        <v>A관(1공장) [45] 하이드레이션/전면검사 누수/규격검사(1공장)</v>
      </c>
    </row>
    <row r="187" spans="1:7" x14ac:dyDescent="0.3">
      <c r="A187" t="s">
        <v>3</v>
      </c>
      <c r="B187" t="s">
        <v>4</v>
      </c>
      <c r="C187" t="s">
        <v>167</v>
      </c>
      <c r="G187" t="str">
        <f t="shared" si="2"/>
        <v>A관(1공장) [20] 분리 분리1호기</v>
      </c>
    </row>
    <row r="188" spans="1:7" x14ac:dyDescent="0.3">
      <c r="A188" t="s">
        <v>3</v>
      </c>
      <c r="B188" t="s">
        <v>4</v>
      </c>
      <c r="C188" t="s">
        <v>169</v>
      </c>
      <c r="G188" t="str">
        <f t="shared" si="2"/>
        <v>A관(1공장) [20] 분리 분리2호기</v>
      </c>
    </row>
    <row r="189" spans="1:7" x14ac:dyDescent="0.3">
      <c r="A189" t="s">
        <v>3</v>
      </c>
      <c r="B189" t="s">
        <v>12</v>
      </c>
      <c r="C189" t="s">
        <v>70</v>
      </c>
      <c r="G189" t="str">
        <f t="shared" si="2"/>
        <v>A관(1공장) [80] 누수/규격검사 검사22호기</v>
      </c>
    </row>
    <row r="190" spans="1:7" x14ac:dyDescent="0.3">
      <c r="A190" t="s">
        <v>3</v>
      </c>
      <c r="B190" t="s">
        <v>7</v>
      </c>
      <c r="C190" t="s">
        <v>133</v>
      </c>
      <c r="G190" t="str">
        <f t="shared" si="2"/>
        <v>A관(1공장) [45] 하이드레이션/전면검사 검사9호기</v>
      </c>
    </row>
    <row r="191" spans="1:7" x14ac:dyDescent="0.3">
      <c r="A191" t="s">
        <v>3</v>
      </c>
      <c r="B191" t="s">
        <v>7</v>
      </c>
      <c r="C191" t="s">
        <v>15</v>
      </c>
      <c r="G191" t="str">
        <f t="shared" si="2"/>
        <v>A관(1공장) [45] 하이드레이션/전면검사 검사8호기</v>
      </c>
    </row>
    <row r="192" spans="1:7" x14ac:dyDescent="0.3">
      <c r="A192" t="s">
        <v>6</v>
      </c>
      <c r="B192" t="s">
        <v>7</v>
      </c>
      <c r="C192" t="s">
        <v>170</v>
      </c>
      <c r="G192" t="str">
        <f t="shared" si="2"/>
        <v>C관(2공장) [45] 하이드레이션/전면검사 2공장 MC수화기</v>
      </c>
    </row>
    <row r="193" spans="1:7" x14ac:dyDescent="0.3">
      <c r="A193" t="s">
        <v>6</v>
      </c>
      <c r="B193" t="s">
        <v>7</v>
      </c>
      <c r="C193" t="s">
        <v>178</v>
      </c>
      <c r="G193" t="str">
        <f t="shared" si="2"/>
        <v>C관(2공장) [45] 하이드레이션/전면검사 워터배스2-17호기</v>
      </c>
    </row>
    <row r="194" spans="1:7" x14ac:dyDescent="0.3">
      <c r="A194" t="s">
        <v>6</v>
      </c>
      <c r="B194" t="s">
        <v>9</v>
      </c>
      <c r="C194" t="s">
        <v>37</v>
      </c>
      <c r="G194" t="str">
        <f t="shared" ref="G194:G200" si="3">A194&amp;" "&amp;B194&amp;" "&amp;C194</f>
        <v>C관(2공장) [55] 접착/ 멸균 워터배스2-9호기</v>
      </c>
    </row>
    <row r="195" spans="1:7" x14ac:dyDescent="0.3">
      <c r="A195" t="s">
        <v>26</v>
      </c>
      <c r="B195" t="s">
        <v>4</v>
      </c>
      <c r="C195" t="s">
        <v>163</v>
      </c>
      <c r="G195" t="str">
        <f t="shared" si="3"/>
        <v>S관(3공장) [20] 분리 CAM분리5호기</v>
      </c>
    </row>
    <row r="196" spans="1:7" x14ac:dyDescent="0.3">
      <c r="A196" t="s">
        <v>26</v>
      </c>
      <c r="B196" t="s">
        <v>16</v>
      </c>
      <c r="C196" t="s">
        <v>57</v>
      </c>
      <c r="G196" t="str">
        <f t="shared" si="3"/>
        <v>S관(3공장) [10] 사출조립 B형 분리수화접착4호기</v>
      </c>
    </row>
    <row r="197" spans="1:7" x14ac:dyDescent="0.3">
      <c r="A197" t="s">
        <v>26</v>
      </c>
      <c r="B197" t="s">
        <v>4</v>
      </c>
      <c r="C197" t="s">
        <v>166</v>
      </c>
      <c r="G197" t="str">
        <f t="shared" si="3"/>
        <v>S관(3공장) [20] 분리 CAM분리6호기</v>
      </c>
    </row>
    <row r="198" spans="1:7" x14ac:dyDescent="0.3">
      <c r="A198" t="s">
        <v>26</v>
      </c>
      <c r="B198" t="s">
        <v>12</v>
      </c>
      <c r="C198" t="s">
        <v>27</v>
      </c>
      <c r="G198" t="str">
        <f t="shared" si="3"/>
        <v>S관(3공장) [80] 누수/규격검사 A형 인라인4호기</v>
      </c>
    </row>
    <row r="199" spans="1:7" x14ac:dyDescent="0.3">
      <c r="A199" t="s">
        <v>26</v>
      </c>
      <c r="B199" t="s">
        <v>4</v>
      </c>
      <c r="C199" t="s">
        <v>175</v>
      </c>
      <c r="G199" t="str">
        <f t="shared" si="3"/>
        <v>S관(3공장) [20] 분리 분리8호기</v>
      </c>
    </row>
    <row r="200" spans="1:7" x14ac:dyDescent="0.3">
      <c r="A200" t="s">
        <v>26</v>
      </c>
      <c r="B200" t="s">
        <v>12</v>
      </c>
      <c r="C200" t="s">
        <v>65</v>
      </c>
      <c r="G200" t="str">
        <f t="shared" si="3"/>
        <v>S관(3공장) [80] 누수/규격검사 S관 실리콘 자동수화기</v>
      </c>
    </row>
  </sheetData>
  <autoFilter ref="A1:H20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이 성준</cp:lastModifiedBy>
  <dcterms:created xsi:type="dcterms:W3CDTF">2015-06-05T18:19:34Z</dcterms:created>
  <dcterms:modified xsi:type="dcterms:W3CDTF">2025-09-26T04:45:12Z</dcterms:modified>
</cp:coreProperties>
</file>